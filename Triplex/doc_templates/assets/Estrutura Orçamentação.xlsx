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_pg_template\doc_templates\assets\"/>
    </mc:Choice>
  </mc:AlternateContent>
  <xr:revisionPtr revIDLastSave="0" documentId="13_ncr:1_{BDE2ADFA-CAB0-4790-9436-37E22DC16CB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sumo" sheetId="1" r:id="rId1"/>
    <sheet name="Software" sheetId="2" r:id="rId2"/>
    <sheet name="Serviços" sheetId="3" r:id="rId3"/>
    <sheet name="Cronograma" sheetId="4" r:id="rId4"/>
    <sheet name="Empresa" sheetId="5" r:id="rId5"/>
    <sheet name="DB" sheetId="6" r:id="rId6"/>
    <sheet name="tarefas" sheetId="7" r:id="rId7"/>
    <sheet name="artigos" sheetId="8" r:id="rId8"/>
  </sheets>
  <definedNames>
    <definedName name="_xlnm._FilterDatabase" localSheetId="5" hidden="1">DB!$A$1:$P$76</definedName>
  </definedNames>
  <calcPr calcId="191029"/>
  <pivotCaches>
    <pivotCache cacheId="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M3" i="6" s="1"/>
  <c r="L2" i="6"/>
  <c r="P1" i="6" s="1"/>
  <c r="E20" i="2"/>
  <c r="B20" i="2"/>
  <c r="H20" i="2" s="1"/>
  <c r="H19" i="2"/>
  <c r="H21" i="2" s="1"/>
  <c r="G19" i="2"/>
  <c r="E19" i="2"/>
  <c r="F19" i="2" s="1"/>
  <c r="H13" i="2"/>
  <c r="B15" i="1" s="1"/>
  <c r="H12" i="2"/>
  <c r="G12" i="2"/>
  <c r="G13" i="2" s="1"/>
  <c r="B6" i="1" s="1"/>
  <c r="F12" i="2"/>
  <c r="E12" i="2"/>
  <c r="B12" i="2"/>
  <c r="H11" i="2"/>
  <c r="G11" i="2"/>
  <c r="F11" i="2"/>
  <c r="E11" i="2"/>
  <c r="H5" i="2"/>
  <c r="B13" i="1" s="1"/>
  <c r="B19" i="1" s="1"/>
  <c r="G5" i="2"/>
  <c r="F5" i="2"/>
  <c r="B4" i="1"/>
  <c r="B2" i="1"/>
  <c r="B8" i="1" l="1"/>
  <c r="M2" i="6"/>
  <c r="F20" i="2"/>
  <c r="H2" i="6"/>
  <c r="K2" i="6" s="1"/>
  <c r="O1" i="6" s="1"/>
  <c r="Q1" i="6" s="1"/>
  <c r="G20" i="2"/>
  <c r="G21" i="2" s="1"/>
  <c r="H3" i="6"/>
  <c r="K3" i="6" s="1"/>
</calcChain>
</file>

<file path=xl/sharedStrings.xml><?xml version="1.0" encoding="utf-8"?>
<sst xmlns="http://schemas.openxmlformats.org/spreadsheetml/2006/main" count="138" uniqueCount="73">
  <si>
    <t>Rúbrica</t>
  </si>
  <si>
    <t>Valor</t>
  </si>
  <si>
    <t>Serviços</t>
  </si>
  <si>
    <t>Software Odoo</t>
  </si>
  <si>
    <t>Certificação PT</t>
  </si>
  <si>
    <t>Total</t>
  </si>
  <si>
    <t>Exploração ( Valores Anuais )</t>
  </si>
  <si>
    <t>Apoio Após Venda</t>
  </si>
  <si>
    <t>Licenciamento Odoo Enterprise</t>
  </si>
  <si>
    <t>Utilizadores</t>
  </si>
  <si>
    <t>Valor / Ano</t>
  </si>
  <si>
    <t>Desconto 1º Ano</t>
  </si>
  <si>
    <t>Valor Mensal</t>
  </si>
  <si>
    <t>Total Mensal</t>
  </si>
  <si>
    <t>Total 1º Ano</t>
  </si>
  <si>
    <t>Total Anos Seguintes</t>
  </si>
  <si>
    <t>Plugin Faturação</t>
  </si>
  <si>
    <t>Subscrição</t>
  </si>
  <si>
    <t>Plugin Faturação + Contabilidade + Salários</t>
  </si>
  <si>
    <t>4</t>
  </si>
  <si>
    <t>(Tudo)</t>
  </si>
  <si>
    <t xml:space="preserve"> </t>
  </si>
  <si>
    <t>Empresa</t>
  </si>
  <si>
    <t>Fase</t>
  </si>
  <si>
    <t xml:space="preserve"> H</t>
  </si>
  <si>
    <t xml:space="preserve"> Valor</t>
  </si>
  <si>
    <t>01.Set-up</t>
  </si>
  <si>
    <t>01.Set-up Total</t>
  </si>
  <si>
    <t>02.Levantamento de requisitos</t>
  </si>
  <si>
    <t>02.Levantamento de requisitos Total</t>
  </si>
  <si>
    <t>Total Geral</t>
  </si>
  <si>
    <t>Soma de D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</si>
  <si>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</si>
  <si>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</si>
  <si>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</si>
  <si>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</si>
  <si>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</si>
  <si>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</si>
  <si>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</si>
  <si>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</si>
  <si>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</si>
  <si>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</si>
  <si>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</si>
  <si>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</si>
  <si>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</si>
  <si>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</si>
  <si>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DE</t>
  </si>
  <si>
    <t>CR</t>
  </si>
  <si>
    <t>TR</t>
  </si>
  <si>
    <t>FR</t>
  </si>
  <si>
    <t>H</t>
  </si>
  <si>
    <t>D</t>
  </si>
  <si>
    <t>DEF</t>
  </si>
  <si>
    <t>[Nome da Empresa]</t>
  </si>
  <si>
    <t>[Descrição da Rúbrica Exemplo 1]</t>
  </si>
  <si>
    <t>Paremeterização</t>
  </si>
  <si>
    <t>Consultor</t>
  </si>
  <si>
    <t>CS_Consultor</t>
  </si>
  <si>
    <t>[Descrição da Rúbrica Exemplo 2]</t>
  </si>
  <si>
    <t>Consultadoria</t>
  </si>
  <si>
    <t>Desenvolvimento</t>
  </si>
  <si>
    <t>Formação</t>
  </si>
  <si>
    <t>Investigação</t>
  </si>
  <si>
    <t>dificuldade</t>
  </si>
  <si>
    <t>factor de risco</t>
  </si>
  <si>
    <t>Orçamentação</t>
  </si>
  <si>
    <t>Suporte</t>
  </si>
  <si>
    <t>Validacao</t>
  </si>
  <si>
    <t>CS_Formador</t>
  </si>
  <si>
    <t>Gestor projecto</t>
  </si>
  <si>
    <t>[Nome da Empresa] Total</t>
  </si>
  <si>
    <t>(em branco)</t>
  </si>
  <si>
    <t>(em branco)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</si>
</sst>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0.0"/>
    <numFmt numFmtId="166" formatCode="_-* #,##0\ _€_-;\-* #,##0\ _€_-;_-* &quot;-&quot;??\ _€_-;_-@_-"/>
    <numFmt numFmtId="167" formatCode="_-* #,##0.00\ _€_-;\-* #,##0.00\ _€_-;_-* &quot;-&quot;??\ _€_-;_-@_-"/>
  </numFmts>
  <fonts count="7" x14ac:knownFonts="1"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  <font>
      <sz val="10"/>
      <color rgb="FF000000"/>
      <name val="Arial"/>
      <family val="2"/>
    </font>
    <font>
      <b/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5">
    <xf numFmtId="0" fontId="0" fillId="0" borderId="0"/>
    <xf numFmtId="44" fontId="1" fillId="0" borderId="0"/>
    <xf numFmtId="44" fontId="1" fillId="0" borderId="0"/>
    <xf numFmtId="9" fontId="1" fillId="0" borderId="0"/>
    <xf numFmtId="167" fontId="1" fillId="0" borderId="0"/>
  </cellStyleXfs>
  <cellXfs count="66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0" fillId="2" borderId="0" xfId="0" applyNumberFormat="1" applyFill="1"/>
    <xf numFmtId="164" fontId="2" fillId="4" borderId="0" xfId="1" applyNumberFormat="1" applyFont="1" applyFill="1" applyAlignment="1">
      <alignment horizontal="center"/>
    </xf>
    <xf numFmtId="164" fontId="1" fillId="2" borderId="0" xfId="1" applyNumberFormat="1" applyFill="1"/>
    <xf numFmtId="0" fontId="1" fillId="0" borderId="0" xfId="0" applyFont="1"/>
    <xf numFmtId="1" fontId="0" fillId="0" borderId="0" xfId="0" applyNumberFormat="1"/>
    <xf numFmtId="164" fontId="0" fillId="0" borderId="0" xfId="2" applyNumberFormat="1" applyFont="1"/>
    <xf numFmtId="0" fontId="1" fillId="5" borderId="0" xfId="0" applyFont="1" applyFill="1"/>
    <xf numFmtId="44" fontId="5" fillId="0" borderId="1" xfId="2" applyFont="1" applyBorder="1" applyAlignment="1">
      <alignment horizontal="center" vertical="top"/>
    </xf>
    <xf numFmtId="9" fontId="5" fillId="0" borderId="2" xfId="3" applyFont="1" applyBorder="1" applyAlignment="1">
      <alignment horizontal="center" vertical="top"/>
    </xf>
    <xf numFmtId="44" fontId="5" fillId="0" borderId="2" xfId="2" applyFont="1" applyBorder="1" applyAlignment="1">
      <alignment horizontal="center" vertical="top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1" fontId="0" fillId="0" borderId="0" xfId="0" applyNumberFormat="1" applyAlignment="1">
      <alignment horizontal="center"/>
    </xf>
    <xf numFmtId="44" fontId="0" fillId="0" borderId="1" xfId="2" applyFont="1" applyBorder="1"/>
    <xf numFmtId="44" fontId="0" fillId="0" borderId="1" xfId="0" applyNumberFormat="1" applyBorder="1"/>
    <xf numFmtId="0" fontId="1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/>
    </xf>
    <xf numFmtId="44" fontId="0" fillId="8" borderId="0" xfId="0" applyNumberFormat="1" applyFill="1"/>
    <xf numFmtId="0" fontId="0" fillId="8" borderId="0" xfId="0" applyFill="1" applyAlignment="1">
      <alignment horizontal="center"/>
    </xf>
    <xf numFmtId="0" fontId="0" fillId="0" borderId="1" xfId="0" applyBorder="1" applyAlignment="1">
      <alignment horizontal="center"/>
    </xf>
    <xf numFmtId="166" fontId="5" fillId="0" borderId="1" xfId="4" applyNumberFormat="1" applyFont="1" applyBorder="1" applyAlignment="1">
      <alignment horizontal="center" vertical="top"/>
    </xf>
    <xf numFmtId="0" fontId="1" fillId="8" borderId="0" xfId="0" applyFont="1" applyFill="1" applyAlignment="1">
      <alignment horizontal="center"/>
    </xf>
    <xf numFmtId="44" fontId="4" fillId="5" borderId="0" xfId="2" applyFont="1" applyFill="1"/>
    <xf numFmtId="0" fontId="1" fillId="8" borderId="0" xfId="0" applyFont="1" applyFill="1"/>
    <xf numFmtId="44" fontId="3" fillId="8" borderId="0" xfId="0" applyNumberFormat="1" applyFont="1" applyFill="1"/>
    <xf numFmtId="0" fontId="0" fillId="8" borderId="3" xfId="0" applyFill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165" fontId="0" fillId="0" borderId="7" xfId="0" applyNumberFormat="1" applyBorder="1"/>
    <xf numFmtId="0" fontId="0" fillId="0" borderId="8" xfId="0" applyBorder="1"/>
    <xf numFmtId="0" fontId="0" fillId="0" borderId="12" xfId="0" pivotButton="1" applyBorder="1"/>
    <xf numFmtId="0" fontId="0" fillId="0" borderId="12" xfId="0" applyBorder="1"/>
    <xf numFmtId="0" fontId="0" fillId="6" borderId="4" xfId="0" applyFill="1" applyBorder="1"/>
    <xf numFmtId="0" fontId="0" fillId="6" borderId="5" xfId="0" applyFill="1" applyBorder="1"/>
    <xf numFmtId="165" fontId="0" fillId="6" borderId="7" xfId="0" applyNumberFormat="1" applyFill="1" applyBorder="1"/>
    <xf numFmtId="0" fontId="0" fillId="5" borderId="4" xfId="0" applyFill="1" applyBorder="1"/>
    <xf numFmtId="0" fontId="0" fillId="5" borderId="7" xfId="0" applyFill="1" applyBorder="1"/>
    <xf numFmtId="0" fontId="0" fillId="8" borderId="9" xfId="0" applyFill="1" applyBorder="1"/>
    <xf numFmtId="165" fontId="0" fillId="8" borderId="11" xfId="0" applyNumberFormat="1" applyFill="1" applyBorder="1"/>
    <xf numFmtId="0" fontId="0" fillId="8" borderId="10" xfId="0" applyFill="1" applyBorder="1"/>
    <xf numFmtId="0" fontId="0" fillId="0" borderId="13" xfId="0" applyBorder="1"/>
    <xf numFmtId="165" fontId="0" fillId="0" borderId="13" xfId="0" applyNumberFormat="1" applyBorder="1"/>
    <xf numFmtId="165" fontId="0" fillId="6" borderId="13" xfId="0" applyNumberFormat="1" applyFill="1" applyBorder="1"/>
    <xf numFmtId="0" fontId="0" fillId="8" borderId="4" xfId="0" applyFill="1" applyBorder="1" applyAlignment="1">
      <alignment wrapText="1"/>
    </xf>
    <xf numFmtId="165" fontId="0" fillId="8" borderId="12" xfId="0" applyNumberFormat="1" applyFill="1" applyBorder="1"/>
    <xf numFmtId="0" fontId="0" fillId="0" borderId="14" xfId="0" applyBorder="1"/>
    <xf numFmtId="165" fontId="0" fillId="0" borderId="15" xfId="0" applyNumberFormat="1" applyBorder="1"/>
    <xf numFmtId="0" fontId="0" fillId="8" borderId="4" xfId="0" applyFill="1" applyBorder="1"/>
    <xf numFmtId="0" fontId="0" fillId="8" borderId="4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6" fillId="8" borderId="0" xfId="0" applyFont="1" applyFill="1" applyAlignment="1">
      <alignment horizontal="center" vertical="top"/>
    </xf>
    <xf numFmtId="0" fontId="0" fillId="0" borderId="0" xfId="0"/>
    <xf numFmtId="0" fontId="0" fillId="0" borderId="4" xfId="0" applyNumberFormat="1" applyBorder="1"/>
    <xf numFmtId="0" fontId="0" fillId="6" borderId="4" xfId="0" applyNumberFormat="1" applyFill="1" applyBorder="1"/>
    <xf numFmtId="0" fontId="0" fillId="8" borderId="9" xfId="0" applyNumberFormat="1" applyFill="1" applyBorder="1"/>
    <xf numFmtId="0" fontId="0" fillId="0" borderId="14" xfId="0" applyNumberFormat="1" applyBorder="1"/>
  </cellXfs>
  <cellStyles count="5">
    <cellStyle name="Euro" xfId="1" xr:uid="{00000000-0005-0000-0000-000001000000}"/>
    <cellStyle name="Moeda" xfId="2" builtinId="4"/>
    <cellStyle name="Normal" xfId="0" builtinId="0"/>
    <cellStyle name="Percentagem" xfId="3" builtinId="5"/>
    <cellStyle name="Vírgula" xfId="4" builtinId="3"/>
  </cellStyles>
  <dxfs count="122">
    <dxf>
      <alignment horizontal="center"/>
    </dxf>
    <dxf>
      <alignment horizontal="center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165" formatCode="0.0"/>
    </dxf>
    <dxf>
      <alignment wrapText="1"/>
    </dxf>
    <dxf>
      <alignment wrapText="1"/>
    </dxf>
    <dxf>
      <alignment wrapText="1"/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alignment horizontal="center"/>
    </dxf>
    <dxf>
      <alignment horizontal="center"/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alignment wrapText="1"/>
    </dxf>
    <dxf>
      <alignment wrapText="1"/>
    </dxf>
    <dxf>
      <alignment wrapText="1"/>
    </dxf>
    <dxf>
      <numFmt numFmtId="165" formatCode="0.0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tilizador" refreshedDate="46171.439782986112" createdVersion="8" refreshedVersion="8" recordCount="3" xr:uid="{00000000-000A-0000-FFFF-FFFF00000000}">
  <cacheSource type="worksheet">
    <worksheetSource ref="A1:P76" sheet="DB"/>
  </cacheSource>
  <cacheFields count="16">
    <cacheField name="Empresa" numFmtId="0">
      <sharedItems containsBlank="1" count="14">
        <s v="[Nome da Empresa]"/>
        <m/>
        <s v="Empresa 001" u="1"/>
        <s v="Empresa 002" u="1"/>
        <s v="Empresa 003" u="1"/>
        <s v="Grupo" u="1"/>
        <s v="1.JFJ" u="1"/>
        <s v="2.IRMACH" u="1"/>
        <s v="3.ITECMA" u="1"/>
        <s v="4.TODAS" u="1"/>
        <s v="JFJ" u="1"/>
        <s v="IRMACH" u="1"/>
        <s v="ITECMA" u="1"/>
        <s v="TODAS" u="1"/>
      </sharedItems>
    </cacheField>
    <cacheField name="Fase" numFmtId="0">
      <sharedItems containsBlank="1" count="9">
        <s v="01.Set-up"/>
        <s v="02.Levantamento de requisitos"/>
        <m/>
        <s v="03.Parameterização das Áreas Mestre" u="1"/>
        <s v="04.Migração de dados" u="1"/>
        <s v="06.Configuração de Relatórios" u="1"/>
        <s v="08.Definição de perfis de utilizador" u="1"/>
        <s v="10.Arranque da solução" u="1"/>
        <s v="05.Desenvolvimento" u="1"/>
      </sharedItems>
    </cacheField>
    <cacheField name="Rúbrica" numFmtId="0">
      <sharedItems containsBlank="1" count="38">
        <s v="[Descrição da Rúbrica Exemplo 1]"/>
        <s v="[Descrição da Rúbrica Exemplo 2]"/>
        <m/>
        <s v="Definição de planos de manutenção/Logs" u="1"/>
        <s v="Instalação" u="1"/>
        <s v="Elaboração do relatório de Costumização" u="1"/>
        <s v="Levantamento de requisitos" u="1"/>
        <s v="Levantamento de requisitos   Análises" u="1"/>
        <s v="Levantamento de requisitos   Assistência Técnica " u="1"/>
        <s v="Levantamento de requisitos   Movimentos Entre empresas" u="1"/>
        <s v="Levantamento de requisitos   Projeto" u="1"/>
        <s v="Levantamento de requisitos  Gestão Compras Maq. Usadas" u="1"/>
        <s v="Levantamento de requisitos  Gestão Vendas  Maq. Usadas" u="1"/>
        <s v="Parameterização Assitencia" u="1"/>
        <s v="Parameterização automatização de artigos de serviços/projeto" u="1"/>
        <s v="Parameterização das Áreas Mestre" u="1"/>
        <s v="Parameterização faturação entre empresas" u="1"/>
        <s v="Parameterização Gestão Compras" u="1"/>
        <s v="Parameterização Gestão Contas de Clientes" u="1"/>
        <s v="Parameterização Gestão Contas de Fornecedores" u="1"/>
        <s v="Parameterização Gestão Vendas" u="1"/>
        <s v="Parameterização Produção maquinas" u="1"/>
        <s v="Parameterização Projeto" u="1"/>
        <s v="Artigos" u="1"/>
        <s v="Migração de dados" u="1"/>
        <s v="Terceiros, Pendentes em conta corrente" u="1"/>
        <s v="Configuração de Relatórios " u="1"/>
        <s v="Definição de perfis de utilizador " u="1"/>
        <s v="Suporte de arranque / Formação" u="1"/>
        <s v="Levantamento de requisitos   Compra/venda Maquinas" u="1"/>
        <s v="Levantamento de requisitos  Fabrico Máquinas" u="1"/>
        <s v="Levantamento de requisitos  Reparações" u="1"/>
        <s v="Levantamento de requisitos   Compra/venda " u="1"/>
        <s v="Levantamento de requisitos  Fabrico Ferramentas de corte" u="1"/>
        <s v="Parameterização Maquinação" u="1"/>
        <s v="Desenvolvimento - Modulo de introdução de encomendas" u="1"/>
        <s v="Levantamento - Modulo de introdução de encomendas" u="1"/>
        <s v="Testes - Modulo de introdução de encomendas" u="1"/>
      </sharedItems>
    </cacheField>
    <cacheField name="2" numFmtId="0">
      <sharedItems containsBlank="1"/>
    </cacheField>
    <cacheField name="3" numFmtId="0">
      <sharedItems containsBlank="1"/>
    </cacheField>
    <cacheField name="4" numFmtId="0">
      <sharedItems containsBlank="1" count="3">
        <s v="CS_Consultor"/>
        <m/>
        <s v="Gestor Projecto" u="1"/>
      </sharedItems>
    </cacheField>
    <cacheField name="DE" numFmtId="0">
      <sharedItems containsString="0" containsBlank="1" containsNumber="1" containsInteger="1" minValue="0" maxValue="0"/>
    </cacheField>
    <cacheField name="CR" numFmtId="164">
      <sharedItems containsString="0" containsBlank="1" containsNumber="1" containsInteger="1" minValue="520" maxValue="520"/>
    </cacheField>
    <cacheField name="TR" numFmtId="0">
      <sharedItems containsString="0" containsBlank="1" containsNumber="1" containsInteger="1" minValue="8" maxValue="8"/>
    </cacheField>
    <cacheField name="FR" numFmtId="0">
      <sharedItems containsString="0" containsBlank="1" containsNumber="1" containsInteger="1" minValue="0" maxValue="0"/>
    </cacheField>
    <cacheField name="Valor" numFmtId="164">
      <sharedItems containsString="0" containsBlank="1" containsNumber="1" containsInteger="1" minValue="1040" maxValue="1040"/>
    </cacheField>
    <cacheField name="H" numFmtId="0">
      <sharedItems containsString="0" containsBlank="1" containsNumber="1" containsInteger="1" minValue="8" maxValue="8"/>
    </cacheField>
    <cacheField name="D" numFmtId="0">
      <sharedItems containsString="0" containsBlank="1" containsNumber="1" containsInteger="1" minValue="1" maxValue="1"/>
    </cacheField>
    <cacheField name="DEF" numFmtId="0">
      <sharedItems containsString="0" containsBlank="1" containsNumber="1" containsInteger="1" minValue="0" maxValue="0"/>
    </cacheField>
    <cacheField name="2 080,00 €" numFmtId="0">
      <sharedItems containsNonDate="0" containsString="0" containsBlank="1"/>
    </cacheField>
    <cacheField name="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s v="Paremeterização"/>
    <s v="Consultor"/>
    <x v="0"/>
    <n v="0"/>
    <n v="520"/>
    <n v="8"/>
    <n v="0"/>
    <n v="1040"/>
    <n v="8"/>
    <n v="1"/>
    <n v="0"/>
    <m/>
    <m/>
  </r>
  <r>
    <x v="0"/>
    <x v="1"/>
    <x v="1"/>
    <s v="Consultadoria"/>
    <s v="Consultor"/>
    <x v="0"/>
    <n v="0"/>
    <n v="520"/>
    <n v="8"/>
    <n v="0"/>
    <n v="1040"/>
    <n v="8"/>
    <n v="1"/>
    <n v="0"/>
    <m/>
    <m/>
  </r>
  <r>
    <x v="1"/>
    <x v="2"/>
    <x v="2"/>
    <m/>
    <m/>
    <x v="1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Dinâmica1" cacheId="7" applyNumberFormats="0" applyBorderFormats="0" applyFontFormats="0" applyPatternFormats="0" applyAlignmentFormats="0" applyWidthHeightFormats="1" dataCaption=" " updatedVersion="8" minRefreshableVersion="3" showMemberPropertyTips="0" useAutoFormatting="1" itemPrintTitles="1" createdVersion="8" indent="0" compact="0" compactData="0" gridDropZones="1" multipleFieldFilters="0">
  <location ref="A3:E13" firstHeaderRow="1" firstDataRow="2" firstDataCol="3" rowPageCount="1" colPageCount="1"/>
  <pivotFields count="16">
    <pivotField axis="axisRow" compact="0" outline="0" showAll="0" includeNewItemsInFilter="1">
      <items count="15">
        <item m="1" x="11"/>
        <item m="1" x="12"/>
        <item m="1" x="10"/>
        <item m="1" x="13"/>
        <item m="1" x="6"/>
        <item m="1" x="7"/>
        <item m="1" x="8"/>
        <item m="1" x="9"/>
        <item m="1" x="2"/>
        <item m="1" x="3"/>
        <item m="1" x="4"/>
        <item m="1" x="5"/>
        <item x="0"/>
        <item x="1"/>
        <item t="default"/>
      </items>
    </pivotField>
    <pivotField axis="axisRow" compact="0" outline="0" showAll="0" includeNewItemsInFilter="1">
      <items count="10">
        <item x="0"/>
        <item x="1"/>
        <item m="1" x="3"/>
        <item m="1" x="4"/>
        <item m="1" x="8"/>
        <item m="1" x="5"/>
        <item m="1" x="6"/>
        <item m="1" x="7"/>
        <item x="2"/>
        <item t="default"/>
      </items>
    </pivotField>
    <pivotField axis="axisRow" compact="0" outline="0" showAll="0" includeNewItemsInFilter="1">
      <items count="39">
        <item m="1" x="23"/>
        <item m="1" x="26"/>
        <item m="1" x="27"/>
        <item m="1" x="3"/>
        <item m="1" x="35"/>
        <item m="1" x="5"/>
        <item m="1" x="4"/>
        <item m="1" x="36"/>
        <item m="1" x="6"/>
        <item m="1" x="7"/>
        <item m="1" x="8"/>
        <item m="1" x="32"/>
        <item m="1" x="29"/>
        <item m="1" x="9"/>
        <item m="1" x="10"/>
        <item m="1" x="33"/>
        <item m="1" x="30"/>
        <item m="1" x="11"/>
        <item m="1" x="12"/>
        <item m="1" x="31"/>
        <item m="1" x="24"/>
        <item m="1" x="13"/>
        <item m="1" x="14"/>
        <item m="1" x="15"/>
        <item m="1" x="16"/>
        <item m="1" x="17"/>
        <item m="1" x="18"/>
        <item m="1" x="19"/>
        <item m="1" x="20"/>
        <item m="1" x="34"/>
        <item m="1" x="21"/>
        <item m="1" x="22"/>
        <item m="1" x="28"/>
        <item m="1" x="25"/>
        <item m="1" x="37"/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4">
        <item x="0"/>
        <item m="1" x="2"/>
        <item x="1"/>
        <item t="default"/>
      </items>
    </pivotField>
    <pivotField compact="0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5" outline="0" showAll="0" includeNewItemsInFilter="1"/>
    <pivotField dataField="1"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/>
    <pivotField compact="0" outline="0" showAll="0"/>
  </pivotFields>
  <rowFields count="3">
    <field x="0"/>
    <field x="1"/>
    <field x="2"/>
  </rowFields>
  <rowItems count="9">
    <i>
      <x v="12"/>
      <x/>
      <x v="35"/>
    </i>
    <i t="default" r="1">
      <x/>
    </i>
    <i r="1">
      <x v="1"/>
      <x v="36"/>
    </i>
    <i t="default" r="1">
      <x v="1"/>
    </i>
    <i t="default">
      <x v="12"/>
    </i>
    <i>
      <x v="13"/>
      <x v="8"/>
      <x v="37"/>
    </i>
    <i t="default" r="1">
      <x v="8"/>
    </i>
    <i t="default"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0"/>
  </pageFields>
  <dataFields count="2">
    <dataField name=" H" fld="11" baseField="0" baseItem="0"/>
    <dataField name=" Valor" fld="10" baseField="0" baseItem="0" numFmtId="165"/>
  </dataFields>
  <formats count="23">
    <format dxfId="121">
      <pivotArea field="0" type="button" dataOnly="0" labelOnly="1" outline="0" axis="axisRow" fieldPosition="0"/>
    </format>
    <format dxfId="120">
      <pivotArea field="1" type="button" dataOnly="0" labelOnly="1" outline="0" axis="axisRow" fieldPosition="1"/>
    </format>
    <format dxfId="119">
      <pivotArea field="2" type="button" dataOnly="0" labelOnly="1" outline="0" axis="axisRow" fieldPosition="2"/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outline="0" fieldPosition="0">
        <references count="1">
          <reference field="0" count="1" selected="0" defaultSubtotal="1">
            <x v="4"/>
          </reference>
        </references>
      </pivotArea>
    </format>
    <format dxfId="116">
      <pivotArea dataOnly="0" labelOnly="1" outline="0" fieldPosition="0">
        <references count="1">
          <reference field="0" count="1" defaultSubtotal="1">
            <x v="4"/>
          </reference>
        </references>
      </pivotArea>
    </format>
    <format dxfId="115">
      <pivotArea dataOnly="0" outline="0" fieldPosition="0">
        <references count="1">
          <reference field="0" count="0" defaultSubtotal="1"/>
        </references>
      </pivotArea>
    </format>
    <format dxfId="114">
      <pivotArea grandRow="1" outline="0" fieldPosition="0"/>
    </format>
    <format dxfId="113">
      <pivotArea dataOnly="0" labelOnly="1" grandRow="1" outline="0" fieldPosition="0"/>
    </format>
    <format dxfId="112">
      <pivotArea field="0" type="button" dataOnly="0" labelOnly="1" outline="0" axis="axisRow" fieldPosition="0"/>
    </format>
    <format dxfId="111">
      <pivotArea field="1" type="button" dataOnly="0" labelOnly="1" outline="0" axis="axisRow" fieldPosition="1"/>
    </format>
    <format dxfId="110">
      <pivotArea field="2" type="button" dataOnly="0" labelOnly="1" outline="0" axis="axisRow" fieldPosition="2"/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">
      <pivotArea outline="0" fieldPosition="0">
        <references count="1">
          <reference field="0" count="1" selected="0" defaultSubtotal="1">
            <x v="8"/>
          </reference>
        </references>
      </pivotArea>
    </format>
    <format dxfId="107">
      <pivotArea dataOnly="0" labelOnly="1" outline="0" fieldPosition="0">
        <references count="1">
          <reference field="0" count="1" defaultSubtotal="1">
            <x v="8"/>
          </reference>
        </references>
      </pivotArea>
    </format>
    <format dxfId="106">
      <pivotArea outline="0" fieldPosition="0">
        <references count="1">
          <reference field="0" count="1" selected="0" defaultSubtotal="1">
            <x v="9"/>
          </reference>
        </references>
      </pivotArea>
    </format>
    <format dxfId="105">
      <pivotArea dataOnly="0" labelOnly="1" outline="0" fieldPosition="0">
        <references count="1">
          <reference field="0" count="1" defaultSubtotal="1">
            <x v="9"/>
          </reference>
        </references>
      </pivotArea>
    </format>
    <format dxfId="104">
      <pivotArea outline="0" fieldPosition="0">
        <references count="1">
          <reference field="0" count="1" selected="0" defaultSubtotal="1">
            <x v="10"/>
          </reference>
        </references>
      </pivotArea>
    </format>
    <format dxfId="103">
      <pivotArea dataOnly="0" labelOnly="1" outline="0" fieldPosition="0">
        <references count="1">
          <reference field="0" count="1" defaultSubtotal="1">
            <x v="10"/>
          </reference>
        </references>
      </pivotArea>
    </format>
    <format dxfId="102">
      <pivotArea outline="0" fieldPosition="0">
        <references count="1">
          <reference field="0" count="1" selected="0" defaultSubtotal="1">
            <x v="11"/>
          </reference>
        </references>
      </pivotArea>
    </format>
    <format dxfId="101">
      <pivotArea dataOnly="0" labelOnly="1" outline="0" fieldPosition="0">
        <references count="1">
          <reference field="0" count="1" defaultSubtotal="1">
            <x v="11"/>
          </reference>
        </references>
      </pivotArea>
    </format>
    <format dxfId="100">
      <pivotArea grandRow="1" outline="0" fieldPosition="0"/>
    </format>
    <format dxfId="99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ela Dinâmica1" cacheId="7" applyNumberFormats="0" applyBorderFormats="0" applyFontFormats="0" applyPatternFormats="0" applyAlignmentFormats="0" applyWidthHeightFormats="1" dataCaption=" " updatedVersion="8" minRefreshableVersion="3" showMemberPropertyTips="0" useAutoFormatting="1" itemPrintTitles="1" createdVersion="8" indent="0" compact="0" compactData="0" gridDropZones="1" multipleFieldFilters="0">
  <location ref="A3:D11" firstHeaderRow="2" firstDataRow="2" firstDataCol="3" rowPageCount="1" colPageCount="1"/>
  <pivotFields count="16">
    <pivotField axis="axisRow" compact="0" outline="0" showAll="0" includeNewItemsInFilter="1">
      <items count="15">
        <item m="1" x="11"/>
        <item m="1" x="12"/>
        <item m="1" x="10"/>
        <item m="1" x="13"/>
        <item m="1" x="6"/>
        <item m="1" x="7"/>
        <item m="1" x="8"/>
        <item m="1" x="9"/>
        <item m="1" x="2"/>
        <item m="1" x="3"/>
        <item m="1" x="4"/>
        <item m="1" x="5"/>
        <item x="0"/>
        <item x="1"/>
        <item t="default"/>
      </items>
    </pivotField>
    <pivotField axis="axisRow" compact="0" outline="0" showAll="0" includeNewItemsInFilter="1">
      <items count="10">
        <item sd="0" x="0"/>
        <item sd="0" x="1"/>
        <item sd="0" m="1" x="3"/>
        <item sd="0" m="1" x="4"/>
        <item sd="0" m="1" x="8"/>
        <item m="1" x="5"/>
        <item sd="0" m="1" x="6"/>
        <item sd="0" m="1" x="7"/>
        <item x="2"/>
        <item t="default"/>
      </items>
    </pivotField>
    <pivotField axis="axisRow" compact="0" outline="0" showAll="0" includeNewItemsInFilter="1">
      <items count="39">
        <item m="1" x="23"/>
        <item m="1" x="26"/>
        <item m="1" x="27"/>
        <item m="1" x="3"/>
        <item m="1" x="35"/>
        <item m="1" x="5"/>
        <item m="1" x="4"/>
        <item m="1" x="36"/>
        <item m="1" x="6"/>
        <item m="1" x="7"/>
        <item m="1" x="8"/>
        <item m="1" x="32"/>
        <item m="1" x="29"/>
        <item m="1" x="9"/>
        <item m="1" x="10"/>
        <item m="1" x="33"/>
        <item m="1" x="30"/>
        <item m="1" x="11"/>
        <item m="1" x="12"/>
        <item m="1" x="31"/>
        <item m="1" x="24"/>
        <item m="1" x="13"/>
        <item m="1" x="14"/>
        <item m="1" x="15"/>
        <item m="1" x="16"/>
        <item m="1" x="17"/>
        <item m="1" x="18"/>
        <item m="1" x="19"/>
        <item m="1" x="20"/>
        <item m="1" x="34"/>
        <item m="1" x="21"/>
        <item m="1" x="22"/>
        <item m="1" x="28"/>
        <item m="1" x="25"/>
        <item m="1" x="37"/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4">
        <item x="0"/>
        <item m="1" x="2"/>
        <item x="1"/>
        <item t="default"/>
      </items>
    </pivotField>
    <pivotField compact="0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dataField="1" compact="0" outline="0" subtotalTop="0" showAll="0" includeNewItemsInFilter="1" defaultSubtotal="0"/>
    <pivotField compact="0" outline="0" showAll="0" includeNewItemsInFilter="1"/>
    <pivotField compact="0" outline="0" showAll="0"/>
    <pivotField compact="0" outline="0" showAll="0"/>
  </pivotFields>
  <rowFields count="3">
    <field x="0"/>
    <field x="1"/>
    <field x="2"/>
  </rowFields>
  <rowItems count="7">
    <i>
      <x v="12"/>
      <x/>
    </i>
    <i r="1">
      <x v="1"/>
    </i>
    <i t="default">
      <x v="12"/>
    </i>
    <i>
      <x v="13"/>
      <x v="8"/>
      <x v="37"/>
    </i>
    <i t="default" r="1">
      <x v="8"/>
    </i>
    <i t="default">
      <x v="13"/>
    </i>
    <i t="grand">
      <x/>
    </i>
  </rowItems>
  <colItems count="1">
    <i/>
  </colItems>
  <pageFields count="1">
    <pageField fld="5" hier="0"/>
  </pageFields>
  <dataFields count="1">
    <dataField name="Soma de D" fld="12" baseField="0" baseItem="0"/>
  </dataFields>
  <formats count="28">
    <format dxfId="98">
      <pivotArea field="0" type="button" dataOnly="0" labelOnly="1" outline="0" axis="axisRow" fieldPosition="0"/>
    </format>
    <format dxfId="97">
      <pivotArea field="1" type="button" dataOnly="0" labelOnly="1" outline="0" axis="axisRow" fieldPosition="1"/>
    </format>
    <format dxfId="96">
      <pivotArea field="2" type="button" dataOnly="0" labelOnly="1" outline="0" axis="axisRow" fieldPosition="2"/>
    </format>
    <format dxfId="95">
      <pivotArea field="0" type="button" dataOnly="0" labelOnly="1" outline="0" axis="axisRow" fieldPosition="0"/>
    </format>
    <format dxfId="94">
      <pivotArea field="1" type="button" dataOnly="0" labelOnly="1" outline="0" axis="axisRow" fieldPosition="1"/>
    </format>
    <format dxfId="93">
      <pivotArea field="2" type="button" dataOnly="0" labelOnly="1" outline="0" axis="axisRow" fieldPosition="2"/>
    </format>
    <format dxfId="92">
      <pivotArea outline="0" fieldPosition="0">
        <references count="1">
          <reference field="0" count="1" selected="0" defaultSubtotal="1">
            <x v="4"/>
          </reference>
        </references>
      </pivotArea>
    </format>
    <format dxfId="91">
      <pivotArea dataOnly="0" labelOnly="1" outline="0" fieldPosition="0">
        <references count="1">
          <reference field="0" count="1" defaultSubtotal="1">
            <x v="4"/>
          </reference>
        </references>
      </pivotArea>
    </format>
    <format dxfId="90">
      <pivotArea dataOnly="0" outline="0" fieldPosition="0">
        <references count="1">
          <reference field="0" count="0" defaultSubtotal="1"/>
        </references>
      </pivotArea>
    </format>
    <format dxfId="89">
      <pivotArea grandRow="1" outline="0" fieldPosition="0"/>
    </format>
    <format dxfId="88">
      <pivotArea dataOnly="0" labelOnly="1" grandRow="1" outline="0" fieldPosition="0"/>
    </format>
    <format dxfId="87">
      <pivotArea outline="0" fieldPosition="0"/>
    </format>
    <format dxfId="86">
      <pivotArea field="0" type="button" dataOnly="0" labelOnly="1" outline="0" axis="axisRow" fieldPosition="0"/>
    </format>
    <format dxfId="85">
      <pivotArea field="1" type="button" dataOnly="0" labelOnly="1" outline="0" axis="axisRow" fieldPosition="1"/>
    </format>
    <format dxfId="84">
      <pivotArea field="2" type="button" dataOnly="0" labelOnly="1" outline="0" axis="axisRow" fieldPosition="2"/>
    </format>
    <format dxfId="83">
      <pivotArea field="0" type="button" dataOnly="0" labelOnly="1" outline="0" axis="axisRow" fieldPosition="0"/>
    </format>
    <format dxfId="82">
      <pivotArea field="1" type="button" dataOnly="0" labelOnly="1" outline="0" axis="axisRow" fieldPosition="1"/>
    </format>
    <format dxfId="81">
      <pivotArea field="2" type="button" dataOnly="0" labelOnly="1" outline="0" axis="axisRow" fieldPosition="2"/>
    </format>
    <format dxfId="80">
      <pivotArea grandRow="1" outline="0" fieldPosition="0"/>
    </format>
    <format dxfId="79">
      <pivotArea dataOnly="0" labelOnly="1" grandRow="1" outline="0" fieldPosition="0"/>
    </format>
    <format dxfId="78">
      <pivotArea outline="0" fieldPosition="0">
        <references count="1">
          <reference field="0" count="1" selected="0" defaultSubtotal="1">
            <x v="8"/>
          </reference>
        </references>
      </pivotArea>
    </format>
    <format dxfId="77">
      <pivotArea dataOnly="0" labelOnly="1" outline="0" fieldPosition="0">
        <references count="1">
          <reference field="0" count="1" defaultSubtotal="1">
            <x v="8"/>
          </reference>
        </references>
      </pivotArea>
    </format>
    <format dxfId="76">
      <pivotArea outline="0" fieldPosition="0">
        <references count="1">
          <reference field="0" count="1" selected="0" defaultSubtotal="1">
            <x v="9"/>
          </reference>
        </references>
      </pivotArea>
    </format>
    <format dxfId="75">
      <pivotArea dataOnly="0" labelOnly="1" outline="0" fieldPosition="0">
        <references count="1">
          <reference field="0" count="1" defaultSubtotal="1">
            <x v="9"/>
          </reference>
        </references>
      </pivotArea>
    </format>
    <format dxfId="74">
      <pivotArea outline="0" fieldPosition="0">
        <references count="1">
          <reference field="0" count="1" selected="0" defaultSubtotal="1">
            <x v="10"/>
          </reference>
        </references>
      </pivotArea>
    </format>
    <format dxfId="73">
      <pivotArea dataOnly="0" labelOnly="1" outline="0" fieldPosition="0">
        <references count="1">
          <reference field="0" count="1" defaultSubtotal="1">
            <x v="10"/>
          </reference>
        </references>
      </pivotArea>
    </format>
    <format dxfId="72">
      <pivotArea outline="0" fieldPosition="0">
        <references count="1">
          <reference field="0" count="1" selected="0" defaultSubtotal="1">
            <x v="11"/>
          </reference>
        </references>
      </pivotArea>
    </format>
    <format dxfId="71">
      <pivotArea dataOnly="0" labelOnly="1" outline="0" fieldPosition="0">
        <references count="1">
          <reference field="0" count="1" defaultSubtotal="1">
            <x v="1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ela Dinâmica2" cacheId="7" applyNumberFormats="0" applyBorderFormats="0" applyFontFormats="0" applyPatternFormats="0" applyAlignmentFormats="0" applyWidthHeightFormats="1" dataCaption=" " updatedVersion="8" minRefreshableVersion="3" showMemberPropertyTips="0" useAutoFormatting="1" itemPrintTitles="1" createdVersion="8" indent="0" compact="0" compactData="0" gridDropZones="1" multipleFieldFilters="0">
  <location ref="A3:C7" firstHeaderRow="1" firstDataRow="2" firstDataCol="1" rowPageCount="1" colPageCount="1"/>
  <pivotFields count="16">
    <pivotField axis="axisRow" compact="0" outline="0" showAll="0" includeNewItemsInFilter="1">
      <items count="15">
        <item m="1" x="6"/>
        <item m="1" x="7"/>
        <item m="1" x="8"/>
        <item m="1" x="9"/>
        <item m="1" x="11"/>
        <item m="1" x="12"/>
        <item m="1" x="10"/>
        <item m="1" x="13"/>
        <item m="1" x="2"/>
        <item m="1" x="3"/>
        <item m="1" x="4"/>
        <item m="1" x="5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4">
        <item x="0"/>
        <item m="1" x="2"/>
        <item x="1"/>
        <item t="default"/>
      </items>
    </pivotField>
    <pivotField compact="0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5" outline="0" showAll="0" includeNewItemsInFilter="1"/>
    <pivotField dataField="1"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/>
    <pivotField compact="0" outline="0" showAll="0"/>
  </pivotFields>
  <rowFields count="1">
    <field x="0"/>
  </rowFields>
  <rowItems count="3"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0"/>
  </pageFields>
  <dataFields count="2">
    <dataField name=" H" fld="11" baseField="0" baseItem="0"/>
    <dataField name=" Valor" fld="10" baseField="0" baseItem="0" numFmtId="165"/>
  </dataFields>
  <formats count="10">
    <format dxfId="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8">
      <pivotArea field="0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">
      <pivotArea grandRow="1" outline="0" fieldPosition="0"/>
    </format>
    <format dxfId="65">
      <pivotArea dataOnly="0" labelOnly="1" grandRow="1" outline="0" fieldPosition="0"/>
    </format>
    <format dxfId="64">
      <pivotArea field="0" type="button" dataOnly="0" labelOnly="1" outline="0" axis="axisRow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grandRow="1" outline="0" fieldPosition="0"/>
    </format>
    <format dxfId="61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workbookViewId="0">
      <selection activeCell="F20" sqref="F20"/>
    </sheetView>
  </sheetViews>
  <sheetFormatPr defaultRowHeight="13.2" x14ac:dyDescent="0.25"/>
  <cols>
    <col min="1" max="1" width="27.77734375" bestFit="1" customWidth="1"/>
    <col min="2" max="2" width="11.88671875" bestFit="1" customWidth="1"/>
    <col min="3" max="3" width="11.44140625" customWidth="1"/>
  </cols>
  <sheetData>
    <row r="1" spans="1:2" x14ac:dyDescent="0.25">
      <c r="A1" s="29" t="s">
        <v>0</v>
      </c>
      <c r="B1" s="29" t="s">
        <v>1</v>
      </c>
    </row>
    <row r="2" spans="1:2" x14ac:dyDescent="0.25">
      <c r="A2" s="11" t="s">
        <v>2</v>
      </c>
      <c r="B2" s="30">
        <f>+GETPIVOTDATA(" Valor",Empresa!$A$3)</f>
        <v>2080</v>
      </c>
    </row>
    <row r="4" spans="1:2" x14ac:dyDescent="0.25">
      <c r="A4" s="11" t="s">
        <v>3</v>
      </c>
      <c r="B4" s="30">
        <f>+Software!G5</f>
        <v>215.28000000000003</v>
      </c>
    </row>
    <row r="6" spans="1:2" x14ac:dyDescent="0.25">
      <c r="A6" s="11" t="s">
        <v>4</v>
      </c>
      <c r="B6" s="30">
        <f>+Software!G13</f>
        <v>374.4</v>
      </c>
    </row>
    <row r="8" spans="1:2" x14ac:dyDescent="0.25">
      <c r="A8" s="31" t="s">
        <v>5</v>
      </c>
      <c r="B8" s="32">
        <f>B2+B4+B6</f>
        <v>2669.6800000000003</v>
      </c>
    </row>
    <row r="11" spans="1:2" x14ac:dyDescent="0.25">
      <c r="A11" s="29" t="s">
        <v>6</v>
      </c>
      <c r="B11" s="29" t="s">
        <v>1</v>
      </c>
    </row>
    <row r="13" spans="1:2" x14ac:dyDescent="0.25">
      <c r="A13" s="11" t="s">
        <v>3</v>
      </c>
      <c r="B13" s="30">
        <f>+Software!H5</f>
        <v>268.79999999999995</v>
      </c>
    </row>
    <row r="15" spans="1:2" x14ac:dyDescent="0.25">
      <c r="A15" s="11" t="s">
        <v>4</v>
      </c>
      <c r="B15" s="30">
        <f>+Software!H13</f>
        <v>468</v>
      </c>
    </row>
    <row r="17" spans="1:2" x14ac:dyDescent="0.25">
      <c r="A17" s="11" t="s">
        <v>7</v>
      </c>
      <c r="B17" s="30">
        <v>0</v>
      </c>
    </row>
    <row r="19" spans="1:2" x14ac:dyDescent="0.25">
      <c r="A19" s="31" t="s">
        <v>5</v>
      </c>
      <c r="B19" s="32">
        <f>SUM(B13:B17)</f>
        <v>736.8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1"/>
  <sheetViews>
    <sheetView showGridLines="0" workbookViewId="0">
      <selection activeCell="L10" sqref="L10"/>
    </sheetView>
  </sheetViews>
  <sheetFormatPr defaultRowHeight="13.2" x14ac:dyDescent="0.25"/>
  <cols>
    <col min="1" max="1" width="30.5546875" customWidth="1"/>
    <col min="2" max="2" width="10.77734375" style="16" bestFit="1" customWidth="1"/>
    <col min="3" max="3" width="10.88671875" bestFit="1" customWidth="1"/>
    <col min="4" max="4" width="9.21875" customWidth="1"/>
    <col min="5" max="5" width="11.21875" customWidth="1"/>
    <col min="6" max="6" width="11.21875" bestFit="1" customWidth="1"/>
    <col min="7" max="7" width="11.88671875" bestFit="1" customWidth="1"/>
    <col min="8" max="8" width="15.88671875" customWidth="1"/>
    <col min="9" max="9" width="10.5546875" bestFit="1" customWidth="1"/>
  </cols>
  <sheetData>
    <row r="1" spans="2:8" ht="60.75" customHeight="1" x14ac:dyDescent="0.25"/>
    <row r="2" spans="2:8" ht="13.8" customHeight="1" x14ac:dyDescent="0.25">
      <c r="B2" s="60" t="s">
        <v>8</v>
      </c>
      <c r="C2" s="61"/>
      <c r="D2" s="61"/>
      <c r="E2" s="61"/>
      <c r="F2" s="61"/>
      <c r="G2" s="61"/>
      <c r="H2" s="61"/>
    </row>
    <row r="4" spans="2:8" ht="26.4" customHeight="1" x14ac:dyDescent="0.25">
      <c r="B4" s="23" t="s">
        <v>9</v>
      </c>
      <c r="C4" s="24" t="s">
        <v>10</v>
      </c>
      <c r="D4" s="23" t="s">
        <v>11</v>
      </c>
      <c r="E4" s="24" t="s">
        <v>12</v>
      </c>
      <c r="F4" s="23" t="s">
        <v>13</v>
      </c>
      <c r="G4" s="24" t="s">
        <v>14</v>
      </c>
      <c r="H4" s="23" t="s">
        <v>15</v>
      </c>
    </row>
    <row r="5" spans="2:8" ht="13.35" customHeight="1" x14ac:dyDescent="0.25">
      <c r="B5" s="28">
        <v>1</v>
      </c>
      <c r="C5" s="12">
        <v>22.4</v>
      </c>
      <c r="D5" s="13">
        <v>0.2</v>
      </c>
      <c r="E5" s="12">
        <v>17.940000000000001</v>
      </c>
      <c r="F5" s="14">
        <f>+E5*B5</f>
        <v>17.940000000000001</v>
      </c>
      <c r="G5" s="12">
        <f>+F5*12</f>
        <v>215.28000000000003</v>
      </c>
      <c r="H5" s="14">
        <f>+C5*B5*12</f>
        <v>268.79999999999995</v>
      </c>
    </row>
    <row r="8" spans="2:8" ht="13.8" customHeight="1" x14ac:dyDescent="0.25">
      <c r="B8" s="60" t="s">
        <v>16</v>
      </c>
      <c r="C8" s="61"/>
      <c r="D8" s="61"/>
      <c r="E8" s="61"/>
      <c r="F8" s="61"/>
      <c r="G8" s="61"/>
      <c r="H8" s="61"/>
    </row>
    <row r="10" spans="2:8" ht="26.4" customHeight="1" x14ac:dyDescent="0.25">
      <c r="B10" s="23" t="s">
        <v>9</v>
      </c>
      <c r="C10" s="24" t="s">
        <v>10</v>
      </c>
      <c r="D10" s="23" t="s">
        <v>11</v>
      </c>
      <c r="E10" s="24" t="s">
        <v>12</v>
      </c>
      <c r="F10" s="23" t="s">
        <v>13</v>
      </c>
      <c r="G10" s="24" t="s">
        <v>14</v>
      </c>
      <c r="H10" s="23" t="s">
        <v>15</v>
      </c>
    </row>
    <row r="11" spans="2:8" x14ac:dyDescent="0.25">
      <c r="B11" s="27" t="s">
        <v>17</v>
      </c>
      <c r="C11" s="21">
        <v>420</v>
      </c>
      <c r="D11" s="13">
        <v>0.2</v>
      </c>
      <c r="E11" s="12">
        <f>+(C11*0.8)/12</f>
        <v>28</v>
      </c>
      <c r="F11" s="21">
        <f>+E11</f>
        <v>28</v>
      </c>
      <c r="G11" s="22">
        <f>+C11-(+C11*D11)</f>
        <v>336</v>
      </c>
      <c r="H11" s="22">
        <f>+C11</f>
        <v>420</v>
      </c>
    </row>
    <row r="12" spans="2:8" x14ac:dyDescent="0.25">
      <c r="B12" s="28">
        <f>B5</f>
        <v>1</v>
      </c>
      <c r="C12" s="12">
        <v>48</v>
      </c>
      <c r="D12" s="13">
        <v>0.2</v>
      </c>
      <c r="E12" s="12">
        <f>+(C12*0.8)/12</f>
        <v>3.2000000000000006</v>
      </c>
      <c r="F12" s="14">
        <f>+E12*B12*12</f>
        <v>38.400000000000006</v>
      </c>
      <c r="G12" s="12">
        <f>+E12*B12*12</f>
        <v>38.400000000000006</v>
      </c>
      <c r="H12" s="14">
        <f>+C12*B12</f>
        <v>48</v>
      </c>
    </row>
    <row r="13" spans="2:8" x14ac:dyDescent="0.25">
      <c r="F13" s="26" t="s">
        <v>5</v>
      </c>
      <c r="G13" s="25">
        <f>SUM(G11:G12)</f>
        <v>374.4</v>
      </c>
      <c r="H13" s="25">
        <f>+H11+H12</f>
        <v>468</v>
      </c>
    </row>
    <row r="16" spans="2:8" ht="13.8" customHeight="1" x14ac:dyDescent="0.25">
      <c r="B16" s="60" t="s">
        <v>18</v>
      </c>
      <c r="C16" s="61"/>
      <c r="D16" s="61"/>
      <c r="E16" s="61"/>
      <c r="F16" s="61"/>
      <c r="G16" s="61"/>
      <c r="H16" s="61"/>
    </row>
    <row r="18" spans="2:8" ht="26.4" customHeight="1" x14ac:dyDescent="0.25">
      <c r="B18" s="23" t="s">
        <v>9</v>
      </c>
      <c r="C18" s="24" t="s">
        <v>10</v>
      </c>
      <c r="D18" s="23" t="s">
        <v>11</v>
      </c>
      <c r="E18" s="24" t="s">
        <v>12</v>
      </c>
      <c r="F18" s="23" t="s">
        <v>13</v>
      </c>
      <c r="G18" s="24" t="s">
        <v>14</v>
      </c>
      <c r="H18" s="23" t="s">
        <v>15</v>
      </c>
    </row>
    <row r="19" spans="2:8" x14ac:dyDescent="0.25">
      <c r="B19" s="27" t="s">
        <v>17</v>
      </c>
      <c r="C19" s="21">
        <v>840</v>
      </c>
      <c r="D19" s="13">
        <v>0.2</v>
      </c>
      <c r="E19" s="12">
        <f>+(C19*0.8)/12</f>
        <v>56</v>
      </c>
      <c r="F19" s="21">
        <f>+E19</f>
        <v>56</v>
      </c>
      <c r="G19" s="22">
        <f>+C19-(+C19*D19)</f>
        <v>672</v>
      </c>
      <c r="H19" s="22">
        <f>+C19</f>
        <v>840</v>
      </c>
    </row>
    <row r="20" spans="2:8" x14ac:dyDescent="0.25">
      <c r="B20" s="28">
        <f>+B12</f>
        <v>1</v>
      </c>
      <c r="C20" s="12">
        <v>108</v>
      </c>
      <c r="D20" s="13">
        <v>0.2</v>
      </c>
      <c r="E20" s="12">
        <f>+(C20*0.8)/12</f>
        <v>7.2</v>
      </c>
      <c r="F20" s="14">
        <f>+E20*B20*12</f>
        <v>86.4</v>
      </c>
      <c r="G20" s="12">
        <f>+E20*B20*12</f>
        <v>86.4</v>
      </c>
      <c r="H20" s="14">
        <f>+C20*B20</f>
        <v>108</v>
      </c>
    </row>
    <row r="21" spans="2:8" x14ac:dyDescent="0.25">
      <c r="F21" s="26" t="s">
        <v>5</v>
      </c>
      <c r="G21" s="25">
        <f>+G20+G20</f>
        <v>172.8</v>
      </c>
      <c r="H21" s="25">
        <f>+H19+H20</f>
        <v>948</v>
      </c>
    </row>
  </sheetData>
  <mergeCells count="3">
    <mergeCell ref="B2:H2"/>
    <mergeCell ref="B8:H8"/>
    <mergeCell ref="B16:H1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workbookViewId="0">
      <selection activeCell="C67" sqref="C67"/>
    </sheetView>
  </sheetViews>
  <sheetFormatPr defaultRowHeight="13.2" x14ac:dyDescent="0.25"/>
  <cols>
    <col min="1" max="1" width="10.109375" bestFit="1" customWidth="1"/>
    <col min="2" max="2" width="32" bestFit="1" customWidth="1"/>
    <col min="3" max="3" width="29.21875" bestFit="1" customWidth="1"/>
    <col min="4" max="4" width="3" bestFit="1" customWidth="1"/>
    <col min="5" max="5" width="6.5546875" bestFit="1" customWidth="1"/>
  </cols>
  <sheetData>
    <row r="1" spans="1:5" x14ac:dyDescent="0.25">
      <c r="A1" s="40" t="s">
        <v>19</v>
      </c>
      <c r="B1" s="41" t="s">
        <v>20</v>
      </c>
    </row>
    <row r="3" spans="1:5" x14ac:dyDescent="0.25">
      <c r="A3" s="34"/>
      <c r="B3" s="35"/>
      <c r="C3" s="35"/>
      <c r="D3" s="36" t="s">
        <v>21</v>
      </c>
      <c r="E3" s="37"/>
    </row>
    <row r="4" spans="1:5" x14ac:dyDescent="0.25">
      <c r="A4" s="45" t="s">
        <v>22</v>
      </c>
      <c r="B4" s="45" t="s">
        <v>23</v>
      </c>
      <c r="C4" s="45" t="s">
        <v>0</v>
      </c>
      <c r="D4" s="45" t="s">
        <v>24</v>
      </c>
      <c r="E4" s="46" t="s">
        <v>25</v>
      </c>
    </row>
    <row r="5" spans="1:5" x14ac:dyDescent="0.25">
      <c r="A5" s="34" t="s">
        <v>53</v>
      </c>
      <c r="B5" s="34" t="s">
        <v>26</v>
      </c>
      <c r="C5" s="34" t="s">
        <v>54</v>
      </c>
      <c r="D5" s="62">
        <v>8</v>
      </c>
      <c r="E5" s="38">
        <v>1040</v>
      </c>
    </row>
    <row r="6" spans="1:5" x14ac:dyDescent="0.25">
      <c r="A6" s="39"/>
      <c r="B6" s="34" t="s">
        <v>27</v>
      </c>
      <c r="C6" s="35"/>
      <c r="D6" s="62">
        <v>8</v>
      </c>
      <c r="E6" s="38">
        <v>1040</v>
      </c>
    </row>
    <row r="7" spans="1:5" x14ac:dyDescent="0.25">
      <c r="A7" s="39"/>
      <c r="B7" s="34" t="s">
        <v>28</v>
      </c>
      <c r="C7" s="34" t="s">
        <v>58</v>
      </c>
      <c r="D7" s="62">
        <v>8</v>
      </c>
      <c r="E7" s="38">
        <v>1040</v>
      </c>
    </row>
    <row r="8" spans="1:5" x14ac:dyDescent="0.25">
      <c r="A8" s="39"/>
      <c r="B8" s="34" t="s">
        <v>29</v>
      </c>
      <c r="C8" s="35"/>
      <c r="D8" s="62">
        <v>8</v>
      </c>
      <c r="E8" s="38">
        <v>1040</v>
      </c>
    </row>
    <row r="9" spans="1:5" x14ac:dyDescent="0.25">
      <c r="A9" s="42" t="s">
        <v>70</v>
      </c>
      <c r="B9" s="43"/>
      <c r="C9" s="43"/>
      <c r="D9" s="63">
        <v>16</v>
      </c>
      <c r="E9" s="44">
        <v>2080</v>
      </c>
    </row>
    <row r="10" spans="1:5" x14ac:dyDescent="0.25">
      <c r="A10" s="34" t="s">
        <v>71</v>
      </c>
      <c r="B10" s="34" t="s">
        <v>71</v>
      </c>
      <c r="C10" s="34" t="s">
        <v>71</v>
      </c>
      <c r="D10" s="62"/>
      <c r="E10" s="38"/>
    </row>
    <row r="11" spans="1:5" x14ac:dyDescent="0.25">
      <c r="A11" s="39"/>
      <c r="B11" s="34" t="s">
        <v>72</v>
      </c>
      <c r="C11" s="35"/>
      <c r="D11" s="62"/>
      <c r="E11" s="38"/>
    </row>
    <row r="12" spans="1:5" x14ac:dyDescent="0.25">
      <c r="A12" s="42" t="s">
        <v>72</v>
      </c>
      <c r="B12" s="43"/>
      <c r="C12" s="43"/>
      <c r="D12" s="63"/>
      <c r="E12" s="44"/>
    </row>
    <row r="13" spans="1:5" x14ac:dyDescent="0.25">
      <c r="A13" s="47" t="s">
        <v>30</v>
      </c>
      <c r="B13" s="49"/>
      <c r="C13" s="49"/>
      <c r="D13" s="64">
        <v>16</v>
      </c>
      <c r="E13" s="48">
        <v>2080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2"/>
  <sheetViews>
    <sheetView showGridLines="0" workbookViewId="0">
      <selection activeCell="J37" sqref="I37:J38"/>
    </sheetView>
  </sheetViews>
  <sheetFormatPr defaultRowHeight="13.2" x14ac:dyDescent="0.25"/>
  <cols>
    <col min="1" max="1" width="10.109375" bestFit="1" customWidth="1"/>
    <col min="2" max="2" width="32" bestFit="1" customWidth="1"/>
    <col min="3" max="3" width="11" bestFit="1" customWidth="1"/>
    <col min="4" max="4" width="4.77734375" bestFit="1" customWidth="1"/>
    <col min="5" max="5" width="5.77734375" customWidth="1"/>
    <col min="6" max="19" width="8.109375" customWidth="1"/>
  </cols>
  <sheetData>
    <row r="1" spans="1:19" x14ac:dyDescent="0.25">
      <c r="A1" s="40" t="s">
        <v>19</v>
      </c>
      <c r="B1" s="41" t="s">
        <v>20</v>
      </c>
    </row>
    <row r="3" spans="1:19" x14ac:dyDescent="0.25">
      <c r="A3" s="36" t="s">
        <v>31</v>
      </c>
      <c r="B3" s="35"/>
      <c r="C3" s="35"/>
      <c r="D3" s="50"/>
    </row>
    <row r="4" spans="1:19" s="18" customFormat="1" ht="26.4" customHeight="1" x14ac:dyDescent="0.25">
      <c r="A4" s="53" t="s">
        <v>22</v>
      </c>
      <c r="B4" s="53" t="s">
        <v>23</v>
      </c>
      <c r="C4" s="53" t="s">
        <v>0</v>
      </c>
      <c r="D4" s="50" t="s">
        <v>5</v>
      </c>
      <c r="E4" s="19"/>
      <c r="F4" s="33" t="s">
        <v>32</v>
      </c>
      <c r="G4" s="33" t="s">
        <v>33</v>
      </c>
      <c r="H4" s="33" t="s">
        <v>34</v>
      </c>
      <c r="I4" s="33" t="s">
        <v>35</v>
      </c>
      <c r="J4" s="33" t="s">
        <v>36</v>
      </c>
      <c r="K4" s="33" t="s">
        <v>37</v>
      </c>
      <c r="L4" s="33" t="s">
        <v>38</v>
      </c>
      <c r="M4" s="33" t="s">
        <v>39</v>
      </c>
      <c r="N4" s="33" t="s">
        <v>40</v>
      </c>
      <c r="O4" s="33" t="s">
        <v>41</v>
      </c>
      <c r="P4" s="33" t="s">
        <v>42</v>
      </c>
      <c r="Q4" s="33" t="s">
        <v>43</v>
      </c>
      <c r="R4" s="33" t="s">
        <v>44</v>
      </c>
      <c r="S4" s="33" t="s">
        <v>45</v>
      </c>
    </row>
    <row r="5" spans="1:19" x14ac:dyDescent="0.25">
      <c r="A5" s="34" t="s">
        <v>53</v>
      </c>
      <c r="B5" s="34" t="s">
        <v>26</v>
      </c>
      <c r="C5" s="35"/>
      <c r="D5" s="51">
        <v>1</v>
      </c>
      <c r="E5" s="19"/>
      <c r="F5" s="15"/>
      <c r="G5" s="16"/>
      <c r="H5" s="16"/>
      <c r="I5" s="16"/>
      <c r="J5" s="16"/>
      <c r="K5" s="16"/>
      <c r="L5" s="16"/>
      <c r="M5" s="16"/>
      <c r="N5" s="16"/>
    </row>
    <row r="6" spans="1:19" x14ac:dyDescent="0.25">
      <c r="A6" s="39"/>
      <c r="B6" s="34" t="s">
        <v>28</v>
      </c>
      <c r="C6" s="35"/>
      <c r="D6" s="51">
        <v>1</v>
      </c>
      <c r="E6" s="19"/>
      <c r="F6" s="17"/>
      <c r="H6" s="16"/>
      <c r="I6" s="16"/>
      <c r="J6" s="16"/>
      <c r="K6" s="16"/>
      <c r="L6" s="16"/>
      <c r="M6" s="16"/>
      <c r="N6" s="16"/>
      <c r="O6" s="16"/>
    </row>
    <row r="7" spans="1:19" x14ac:dyDescent="0.25">
      <c r="A7" s="42" t="s">
        <v>70</v>
      </c>
      <c r="B7" s="43"/>
      <c r="C7" s="43"/>
      <c r="D7" s="52">
        <v>2</v>
      </c>
      <c r="E7" s="19"/>
      <c r="F7" s="16"/>
      <c r="H7" s="16"/>
      <c r="I7" s="15"/>
      <c r="J7" s="15"/>
      <c r="K7" s="15"/>
      <c r="L7" s="16"/>
      <c r="M7" s="16"/>
      <c r="N7" s="16"/>
      <c r="O7" s="16"/>
    </row>
    <row r="8" spans="1:19" x14ac:dyDescent="0.25">
      <c r="A8" s="34" t="s">
        <v>71</v>
      </c>
      <c r="B8" s="34" t="s">
        <v>71</v>
      </c>
      <c r="C8" s="34" t="s">
        <v>71</v>
      </c>
      <c r="D8" s="51"/>
      <c r="E8" s="19"/>
      <c r="F8" s="16"/>
      <c r="H8" s="16"/>
      <c r="I8" s="17"/>
      <c r="J8" s="17"/>
      <c r="K8" s="17"/>
      <c r="L8" s="17"/>
      <c r="M8" s="16"/>
      <c r="N8" s="16"/>
      <c r="O8" s="16"/>
    </row>
    <row r="9" spans="1:19" x14ac:dyDescent="0.25">
      <c r="A9" s="39"/>
      <c r="B9" s="34" t="s">
        <v>72</v>
      </c>
      <c r="C9" s="35"/>
      <c r="D9" s="51"/>
      <c r="E9" s="19"/>
      <c r="F9" s="16"/>
      <c r="H9" s="16"/>
      <c r="I9" s="15"/>
      <c r="J9" s="15"/>
      <c r="K9" s="15"/>
      <c r="L9" s="15"/>
      <c r="M9" s="16"/>
      <c r="N9" s="16"/>
      <c r="O9" s="16"/>
    </row>
    <row r="10" spans="1:19" x14ac:dyDescent="0.25">
      <c r="A10" s="42" t="s">
        <v>72</v>
      </c>
      <c r="B10" s="43"/>
      <c r="C10" s="43"/>
      <c r="D10" s="52"/>
      <c r="E10" s="19"/>
      <c r="F10" s="16"/>
      <c r="H10" s="16"/>
      <c r="I10" s="16"/>
      <c r="J10" s="17"/>
      <c r="K10" s="17"/>
      <c r="L10" s="17"/>
      <c r="M10" s="16"/>
      <c r="N10" s="16"/>
      <c r="O10" s="16"/>
    </row>
    <row r="11" spans="1:19" x14ac:dyDescent="0.25">
      <c r="A11" s="47" t="s">
        <v>30</v>
      </c>
      <c r="B11" s="49"/>
      <c r="C11" s="49"/>
      <c r="D11" s="54">
        <v>2</v>
      </c>
      <c r="E11" s="19"/>
      <c r="F11" s="16"/>
      <c r="H11" s="16"/>
      <c r="I11" s="16"/>
      <c r="J11" s="16"/>
      <c r="K11" s="16"/>
      <c r="L11" s="16"/>
      <c r="M11" s="16"/>
      <c r="N11" s="16"/>
      <c r="O11" s="16"/>
    </row>
    <row r="12" spans="1:19" x14ac:dyDescent="0.25">
      <c r="E12" s="19"/>
      <c r="F12" s="15"/>
      <c r="H12" s="16"/>
      <c r="I12" s="16"/>
      <c r="J12" s="16"/>
      <c r="K12" s="16"/>
      <c r="L12" s="16"/>
      <c r="M12" s="16"/>
      <c r="N12" s="16"/>
      <c r="O12" s="16"/>
    </row>
    <row r="13" spans="1:19" x14ac:dyDescent="0.25">
      <c r="E13" s="19"/>
      <c r="F13" s="16"/>
      <c r="H13" s="16"/>
      <c r="I13" s="16"/>
      <c r="J13" s="16"/>
      <c r="K13" s="16"/>
      <c r="L13" s="16"/>
      <c r="M13" s="17"/>
      <c r="N13" s="17"/>
      <c r="O13" s="17"/>
      <c r="P13" s="17"/>
    </row>
    <row r="14" spans="1:19" x14ac:dyDescent="0.25">
      <c r="E14" s="19"/>
      <c r="F14" s="16"/>
      <c r="H14" s="16"/>
      <c r="I14" s="16"/>
      <c r="J14" s="16"/>
      <c r="K14" s="16"/>
      <c r="L14" s="16"/>
      <c r="M14" s="16"/>
      <c r="N14" s="15"/>
      <c r="O14" s="15"/>
      <c r="P14" s="15"/>
    </row>
    <row r="15" spans="1:19" x14ac:dyDescent="0.25">
      <c r="E15" s="19"/>
      <c r="F15" s="16"/>
      <c r="H15" s="16"/>
      <c r="I15" s="16"/>
      <c r="J15" s="16"/>
      <c r="K15" s="16"/>
      <c r="L15" s="16"/>
      <c r="M15" s="16"/>
      <c r="N15" s="16"/>
      <c r="O15" s="16"/>
    </row>
    <row r="16" spans="1:19" x14ac:dyDescent="0.25">
      <c r="E16" s="19"/>
      <c r="F16" s="16"/>
      <c r="H16" s="17"/>
      <c r="I16" s="16"/>
      <c r="J16" s="16"/>
      <c r="K16" s="16"/>
      <c r="L16" s="16"/>
      <c r="M16" s="16"/>
      <c r="N16" s="16"/>
      <c r="O16" s="16"/>
    </row>
    <row r="17" spans="5:19" x14ac:dyDescent="0.25">
      <c r="E17" s="19"/>
      <c r="F17" s="16"/>
      <c r="H17" s="16"/>
      <c r="I17" s="16"/>
      <c r="J17" s="16"/>
      <c r="K17" s="16"/>
      <c r="L17" s="16"/>
      <c r="M17" s="16"/>
      <c r="N17" s="16"/>
      <c r="O17" s="16"/>
      <c r="Q17" s="15"/>
      <c r="R17" s="15"/>
      <c r="S17" s="15"/>
    </row>
    <row r="18" spans="5:19" x14ac:dyDescent="0.25">
      <c r="E18" s="19"/>
      <c r="F18" s="16"/>
      <c r="H18" s="16"/>
      <c r="I18" s="16"/>
      <c r="J18" s="16"/>
      <c r="K18" s="16"/>
      <c r="L18" s="16"/>
      <c r="M18" s="16"/>
      <c r="N18" s="16"/>
      <c r="O18" s="16"/>
      <c r="Q18" s="17"/>
      <c r="R18" s="17"/>
      <c r="S18" s="17"/>
    </row>
    <row r="19" spans="5:19" x14ac:dyDescent="0.25">
      <c r="E19" s="19"/>
      <c r="F19" s="16"/>
      <c r="G19" s="16"/>
      <c r="H19" s="16"/>
      <c r="I19" s="16"/>
      <c r="J19" s="16"/>
      <c r="K19" s="16"/>
      <c r="L19" s="16"/>
      <c r="M19" s="16"/>
      <c r="N19" s="16"/>
    </row>
    <row r="20" spans="5:19" x14ac:dyDescent="0.25">
      <c r="E20" s="19"/>
      <c r="F20" s="16"/>
      <c r="G20" s="15"/>
      <c r="H20" s="15"/>
      <c r="I20" s="15"/>
      <c r="J20" s="15"/>
      <c r="K20" s="16"/>
      <c r="L20" s="16"/>
      <c r="M20" s="16"/>
      <c r="N20" s="16"/>
    </row>
    <row r="21" spans="5:19" x14ac:dyDescent="0.25">
      <c r="E21" s="19"/>
      <c r="F21" s="16"/>
      <c r="G21" s="16"/>
      <c r="H21" s="16"/>
      <c r="I21" s="16"/>
      <c r="J21" s="16"/>
      <c r="K21" s="16"/>
      <c r="L21" s="16"/>
      <c r="M21" s="16"/>
      <c r="N21" s="16"/>
    </row>
    <row r="22" spans="5:19" x14ac:dyDescent="0.25">
      <c r="E22" s="19"/>
      <c r="F22" s="16"/>
      <c r="G22" s="16"/>
      <c r="H22" s="16"/>
      <c r="I22" s="16"/>
      <c r="J22" s="16"/>
      <c r="K22" s="16"/>
      <c r="L22" s="16"/>
      <c r="M22" s="16"/>
      <c r="N22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showGridLines="0" workbookViewId="0">
      <selection activeCell="F16" sqref="F16"/>
    </sheetView>
  </sheetViews>
  <sheetFormatPr defaultRowHeight="13.2" x14ac:dyDescent="0.25"/>
  <cols>
    <col min="1" max="1" width="17.33203125" bestFit="1" customWidth="1"/>
    <col min="2" max="2" width="8.5546875" bestFit="1" customWidth="1"/>
    <col min="3" max="3" width="6.5546875" bestFit="1" customWidth="1"/>
    <col min="4" max="4" width="12.5546875" bestFit="1" customWidth="1"/>
  </cols>
  <sheetData>
    <row r="1" spans="1:3" x14ac:dyDescent="0.25">
      <c r="A1" s="40" t="s">
        <v>19</v>
      </c>
      <c r="B1" s="41" t="s">
        <v>20</v>
      </c>
    </row>
    <row r="3" spans="1:3" x14ac:dyDescent="0.25">
      <c r="A3" s="34"/>
      <c r="B3" s="36" t="s">
        <v>21</v>
      </c>
      <c r="C3" s="37"/>
    </row>
    <row r="4" spans="1:3" x14ac:dyDescent="0.25">
      <c r="A4" s="57" t="s">
        <v>22</v>
      </c>
      <c r="B4" s="58" t="s">
        <v>24</v>
      </c>
      <c r="C4" s="59" t="s">
        <v>25</v>
      </c>
    </row>
    <row r="5" spans="1:3" x14ac:dyDescent="0.25">
      <c r="A5" s="34" t="s">
        <v>53</v>
      </c>
      <c r="B5" s="62">
        <v>16</v>
      </c>
      <c r="C5" s="38">
        <v>2080</v>
      </c>
    </row>
    <row r="6" spans="1:3" x14ac:dyDescent="0.25">
      <c r="A6" s="55" t="s">
        <v>71</v>
      </c>
      <c r="B6" s="65"/>
      <c r="C6" s="56"/>
    </row>
    <row r="7" spans="1:3" x14ac:dyDescent="0.25">
      <c r="A7" s="47" t="s">
        <v>30</v>
      </c>
      <c r="B7" s="64">
        <v>16</v>
      </c>
      <c r="C7" s="48">
        <v>2080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"/>
  <sheetViews>
    <sheetView tabSelected="1" workbookViewId="0">
      <selection activeCell="Q2" sqref="Q2"/>
    </sheetView>
  </sheetViews>
  <sheetFormatPr defaultRowHeight="13.2" x14ac:dyDescent="0.25"/>
  <cols>
    <col min="1" max="1" width="13.44140625" bestFit="1" customWidth="1"/>
    <col min="2" max="2" width="31.44140625" bestFit="1" customWidth="1"/>
    <col min="3" max="3" width="61.21875" bestFit="1" customWidth="1"/>
    <col min="4" max="4" width="14.109375" bestFit="1" customWidth="1"/>
    <col min="5" max="5" width="8.5546875" bestFit="1" customWidth="1"/>
    <col min="6" max="6" width="15.5546875" customWidth="1"/>
    <col min="7" max="7" width="9" customWidth="1"/>
    <col min="8" max="8" width="11.77734375" style="7" customWidth="1"/>
    <col min="10" max="10" width="9" customWidth="1"/>
    <col min="11" max="11" width="12.5546875" style="5" customWidth="1"/>
    <col min="12" max="13" width="9.109375" style="1" customWidth="1"/>
    <col min="14" max="14" width="9.109375" style="2" customWidth="1"/>
    <col min="15" max="15" width="15.44140625" customWidth="1"/>
    <col min="16" max="16" width="12.44140625" customWidth="1"/>
  </cols>
  <sheetData>
    <row r="1" spans="1:17" x14ac:dyDescent="0.25">
      <c r="A1" s="3" t="s">
        <v>22</v>
      </c>
      <c r="B1" s="3" t="s">
        <v>23</v>
      </c>
      <c r="C1" s="3" t="s">
        <v>0</v>
      </c>
      <c r="D1" s="3">
        <v>2</v>
      </c>
      <c r="E1" s="3">
        <v>3</v>
      </c>
      <c r="F1" s="3">
        <v>4</v>
      </c>
      <c r="G1" s="3" t="s">
        <v>46</v>
      </c>
      <c r="H1" s="6" t="s">
        <v>47</v>
      </c>
      <c r="I1" s="3" t="s">
        <v>48</v>
      </c>
      <c r="J1" s="3" t="s">
        <v>49</v>
      </c>
      <c r="K1" s="4" t="s">
        <v>1</v>
      </c>
      <c r="L1" s="3" t="s">
        <v>50</v>
      </c>
      <c r="M1" s="3" t="s">
        <v>51</v>
      </c>
      <c r="N1" s="3" t="s">
        <v>52</v>
      </c>
      <c r="O1" s="10">
        <f>SUM(K2:K3)</f>
        <v>2080</v>
      </c>
      <c r="P1" s="20">
        <f>SUM(L2:L3)</f>
        <v>16</v>
      </c>
      <c r="Q1">
        <f>O1/P1</f>
        <v>130</v>
      </c>
    </row>
    <row r="2" spans="1:17" x14ac:dyDescent="0.25">
      <c r="A2" s="11" t="s">
        <v>53</v>
      </c>
      <c r="B2" s="8" t="s">
        <v>26</v>
      </c>
      <c r="C2" t="s">
        <v>54</v>
      </c>
      <c r="D2" t="s">
        <v>55</v>
      </c>
      <c r="E2" t="s">
        <v>56</v>
      </c>
      <c r="F2" t="s">
        <v>57</v>
      </c>
      <c r="G2">
        <v>0</v>
      </c>
      <c r="H2" s="7">
        <f>(VLOOKUP(F2,artigos!A:B,2)*L2)</f>
        <v>520</v>
      </c>
      <c r="I2">
        <v>8</v>
      </c>
      <c r="J2">
        <v>0</v>
      </c>
      <c r="K2" s="5">
        <f>((H2*VLOOKUP(D2,tarefas!A:B,2))+IF(AND((VLOOKUP(F2,artigos!A:F,6))=1,I2&gt;0),(VLOOKUP(F2,artigos!A:E,5)),0))*((1 - (VLOOKUP(D2,tarefas!A:C,3)/2)) +((VLOOKUP(D2,tarefas!A:C,3)/20) * G2 ))</f>
        <v>1040</v>
      </c>
      <c r="L2" s="1">
        <f>I2* (1 +((VLOOKUP(D2,tarefas!A:D,4)/20) * J2))</f>
        <v>8</v>
      </c>
      <c r="M2" s="1">
        <f>+L2/8</f>
        <v>1</v>
      </c>
      <c r="N2" s="2">
        <v>0</v>
      </c>
      <c r="P2" s="9"/>
    </row>
    <row r="3" spans="1:17" x14ac:dyDescent="0.25">
      <c r="A3" s="11" t="s">
        <v>53</v>
      </c>
      <c r="B3" s="8" t="s">
        <v>28</v>
      </c>
      <c r="C3" t="s">
        <v>58</v>
      </c>
      <c r="D3" t="s">
        <v>59</v>
      </c>
      <c r="E3" t="s">
        <v>56</v>
      </c>
      <c r="F3" t="s">
        <v>57</v>
      </c>
      <c r="G3">
        <v>0</v>
      </c>
      <c r="H3" s="7">
        <f>(VLOOKUP(F3,artigos!A:B,2)*L3)</f>
        <v>520</v>
      </c>
      <c r="I3">
        <v>8</v>
      </c>
      <c r="J3">
        <v>0</v>
      </c>
      <c r="K3" s="5">
        <f>((H3*VLOOKUP(D3,tarefas!A:B,2))+IF(AND((VLOOKUP(F3,artigos!A:F,6))=1,I3&gt;0),(VLOOKUP(F3,artigos!A:E,5)),0))*((1 - (VLOOKUP(D3,tarefas!A:C,3)/2)) +((VLOOKUP(D3,tarefas!A:C,3)/20) * G3 ))</f>
        <v>1040</v>
      </c>
      <c r="L3" s="1">
        <f>I3* (1 +((VLOOKUP(D3,tarefas!A:D,4)/20) * J3))</f>
        <v>8</v>
      </c>
      <c r="M3" s="1">
        <f>+L3/8</f>
        <v>1</v>
      </c>
      <c r="N3" s="2">
        <v>0</v>
      </c>
    </row>
  </sheetData>
  <autoFilter ref="A1:P76" xr:uid="{00000000-0009-0000-0000-000005000000}">
    <sortState xmlns:xlrd2="http://schemas.microsoft.com/office/spreadsheetml/2017/richdata2" ref="A2:P76">
      <sortCondition ref="A2:A76"/>
      <sortCondition ref="B2:B76"/>
      <sortCondition ref="C2:C76"/>
    </sortState>
  </autoFilter>
  <pageMargins left="0.75" right="0.75" top="1" bottom="1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workbookViewId="0">
      <selection activeCell="F35" sqref="F35"/>
    </sheetView>
  </sheetViews>
  <sheetFormatPr defaultRowHeight="13.2" x14ac:dyDescent="0.25"/>
  <cols>
    <col min="1" max="1" width="14.88671875" bestFit="1" customWidth="1"/>
    <col min="2" max="2" width="10.88671875" customWidth="1"/>
    <col min="3" max="3" width="10" customWidth="1"/>
    <col min="8" max="8" width="10.109375" customWidth="1"/>
    <col min="9" max="9" width="12.77734375" bestFit="1" customWidth="1"/>
  </cols>
  <sheetData>
    <row r="1" spans="1:9" x14ac:dyDescent="0.25">
      <c r="A1" t="s">
        <v>59</v>
      </c>
      <c r="B1">
        <v>2</v>
      </c>
      <c r="C1">
        <v>0</v>
      </c>
      <c r="D1">
        <v>0</v>
      </c>
    </row>
    <row r="2" spans="1:9" x14ac:dyDescent="0.25">
      <c r="A2" t="s">
        <v>60</v>
      </c>
      <c r="B2">
        <v>2</v>
      </c>
      <c r="C2">
        <v>0</v>
      </c>
      <c r="D2">
        <v>0</v>
      </c>
    </row>
    <row r="3" spans="1:9" x14ac:dyDescent="0.25">
      <c r="A3" t="s">
        <v>61</v>
      </c>
      <c r="B3">
        <v>2</v>
      </c>
      <c r="C3">
        <v>0</v>
      </c>
      <c r="D3">
        <v>0</v>
      </c>
    </row>
    <row r="4" spans="1:9" x14ac:dyDescent="0.25">
      <c r="A4" t="s">
        <v>62</v>
      </c>
      <c r="B4">
        <v>2</v>
      </c>
      <c r="C4">
        <v>0</v>
      </c>
      <c r="D4">
        <v>0</v>
      </c>
      <c r="H4" t="s">
        <v>63</v>
      </c>
      <c r="I4" t="s">
        <v>64</v>
      </c>
    </row>
    <row r="5" spans="1:9" x14ac:dyDescent="0.25">
      <c r="A5" t="s">
        <v>65</v>
      </c>
      <c r="B5">
        <v>2</v>
      </c>
      <c r="C5">
        <v>0</v>
      </c>
      <c r="D5">
        <v>0</v>
      </c>
    </row>
    <row r="6" spans="1:9" x14ac:dyDescent="0.25">
      <c r="A6" t="s">
        <v>55</v>
      </c>
      <c r="B6">
        <v>2</v>
      </c>
      <c r="C6">
        <v>0</v>
      </c>
      <c r="D6">
        <v>0</v>
      </c>
    </row>
    <row r="7" spans="1:9" x14ac:dyDescent="0.25">
      <c r="A7" t="s">
        <v>66</v>
      </c>
      <c r="B7">
        <v>2</v>
      </c>
      <c r="C7">
        <v>0</v>
      </c>
      <c r="D7">
        <v>0</v>
      </c>
    </row>
    <row r="8" spans="1:9" x14ac:dyDescent="0.25">
      <c r="A8" t="s">
        <v>67</v>
      </c>
      <c r="B8">
        <v>2</v>
      </c>
      <c r="C8">
        <v>0</v>
      </c>
      <c r="D8">
        <v>0</v>
      </c>
    </row>
  </sheetData>
  <pageMargins left="0.75" right="0.75" top="1" bottom="1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>
      <selection activeCell="B4" sqref="B4"/>
    </sheetView>
  </sheetViews>
  <sheetFormatPr defaultRowHeight="13.2" x14ac:dyDescent="0.25"/>
  <cols>
    <col min="1" max="1" width="22.5546875" bestFit="1" customWidth="1"/>
    <col min="2" max="2" width="6" bestFit="1" customWidth="1"/>
  </cols>
  <sheetData>
    <row r="1" spans="1:6" x14ac:dyDescent="0.25">
      <c r="A1" t="s">
        <v>57</v>
      </c>
      <c r="B1">
        <v>65</v>
      </c>
      <c r="C1">
        <v>0</v>
      </c>
      <c r="D1">
        <v>0</v>
      </c>
      <c r="E1">
        <v>0</v>
      </c>
      <c r="F1">
        <v>0</v>
      </c>
    </row>
    <row r="2" spans="1:6" x14ac:dyDescent="0.25">
      <c r="A2" t="s">
        <v>68</v>
      </c>
      <c r="B2">
        <v>65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69</v>
      </c>
      <c r="B3">
        <v>90</v>
      </c>
      <c r="C3">
        <v>0</v>
      </c>
      <c r="D3">
        <v>0</v>
      </c>
      <c r="E3">
        <v>0</v>
      </c>
      <c r="F3">
        <v>0</v>
      </c>
    </row>
  </sheetData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Resumo</vt:lpstr>
      <vt:lpstr>Software</vt:lpstr>
      <vt:lpstr>Serviços</vt:lpstr>
      <vt:lpstr>Cronograma</vt:lpstr>
      <vt:lpstr>Empresa</vt:lpstr>
      <vt:lpstr>DB</vt:lpstr>
      <vt:lpstr>tarefas</vt:lpstr>
      <vt:lpstr>artigos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Pereira</dc:creator>
  <cp:lastModifiedBy>Parâmetro + Pedro Coelho</cp:lastModifiedBy>
  <dcterms:created xsi:type="dcterms:W3CDTF">2007-04-13T12:10:14Z</dcterms:created>
  <dcterms:modified xsi:type="dcterms:W3CDTF">2026-05-29T09:33:38Z</dcterms:modified>
</cp:coreProperties>
</file>