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HMD\dados$\01.CLIENTES\(PASTA CLIENTE MATRIZ)\Projetos\(Projecto)\CALCULO PREÇOS\"/>
    </mc:Choice>
  </mc:AlternateContent>
  <xr:revisionPtr revIDLastSave="0" documentId="13_ncr:1_{C46DF30A-BE43-4EB4-9057-D7B2D3E38AF6}" xr6:coauthVersionLast="47" xr6:coauthVersionMax="47" xr10:uidLastSave="{00000000-0000-0000-0000-000000000000}"/>
  <bookViews>
    <workbookView xWindow="-120" yWindow="-120" windowWidth="29040" windowHeight="15840" xr2:uid="{3CBE5F8C-D37D-4B3C-B6FB-6DEAFAC354F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T3" i="1"/>
  <c r="P4" i="1"/>
  <c r="Q4" i="1"/>
  <c r="R4" i="1"/>
  <c r="S4" i="1"/>
  <c r="T4" i="1"/>
  <c r="P5" i="1"/>
  <c r="Q5" i="1" s="1"/>
  <c r="R5" i="1" s="1"/>
  <c r="S5" i="1" s="1"/>
  <c r="T5" i="1" s="1"/>
  <c r="P6" i="1"/>
  <c r="Q6" i="1"/>
  <c r="R6" i="1"/>
  <c r="S6" i="1"/>
  <c r="T6" i="1"/>
  <c r="P7" i="1"/>
  <c r="Q7" i="1"/>
  <c r="R7" i="1" s="1"/>
  <c r="S7" i="1" s="1"/>
  <c r="T7" i="1" s="1"/>
  <c r="P8" i="1"/>
  <c r="Q8" i="1"/>
  <c r="R8" i="1"/>
  <c r="S8" i="1"/>
  <c r="T8" i="1"/>
  <c r="P9" i="1"/>
  <c r="Q9" i="1"/>
  <c r="R9" i="1"/>
  <c r="S9" i="1"/>
  <c r="T9" i="1"/>
  <c r="P10" i="1"/>
  <c r="Q10" i="1"/>
  <c r="R10" i="1"/>
  <c r="S10" i="1"/>
  <c r="T10" i="1"/>
  <c r="P11" i="1"/>
  <c r="Q11" i="1"/>
  <c r="R11" i="1"/>
  <c r="S11" i="1"/>
  <c r="T11" i="1"/>
  <c r="P12" i="1"/>
  <c r="Q12" i="1"/>
  <c r="R12" i="1" s="1"/>
  <c r="S12" i="1" s="1"/>
  <c r="T12" i="1" s="1"/>
  <c r="P13" i="1"/>
  <c r="Q13" i="1"/>
  <c r="R13" i="1"/>
  <c r="S13" i="1"/>
  <c r="T13" i="1"/>
  <c r="P2" i="1"/>
  <c r="Q2" i="1"/>
  <c r="R2" i="1"/>
  <c r="S2" i="1"/>
  <c r="T2" i="1" s="1"/>
</calcChain>
</file>

<file path=xl/sharedStrings.xml><?xml version="1.0" encoding="utf-8"?>
<sst xmlns="http://schemas.openxmlformats.org/spreadsheetml/2006/main" count="22" uniqueCount="22">
  <si>
    <t>PC1</t>
  </si>
  <si>
    <t>FORN1</t>
  </si>
  <si>
    <t>PC2</t>
  </si>
  <si>
    <t>FORN2</t>
  </si>
  <si>
    <t>PC3</t>
  </si>
  <si>
    <t>FORN3</t>
  </si>
  <si>
    <t>PC4</t>
  </si>
  <si>
    <t>FORN4</t>
  </si>
  <si>
    <t>CAIXA</t>
  </si>
  <si>
    <t>PC TOTAL</t>
  </si>
  <si>
    <t>PREÇO CLIENTE</t>
  </si>
  <si>
    <t>PVP</t>
  </si>
  <si>
    <t>P. recolha</t>
  </si>
  <si>
    <t>Descrição</t>
  </si>
  <si>
    <t>Preço Faturado</t>
  </si>
  <si>
    <t>Margem Real</t>
  </si>
  <si>
    <t>Data</t>
  </si>
  <si>
    <t>Nr. Orçamento</t>
  </si>
  <si>
    <t>Acabamentos</t>
  </si>
  <si>
    <t>Medidas</t>
  </si>
  <si>
    <t>Qtd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</si>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</sst>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[$-816]General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  <charset val="1"/>
    </font>
    <font>
      <u/>
      <sz val="10"/>
      <color theme="1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6" fillId="0" borderId="0"/>
    <xf numFmtId="165" fontId="7" fillId="0" borderId="0" applyBorder="0" applyProtection="0"/>
    <xf numFmtId="0" fontId="8" fillId="0" borderId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0" fontId="3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4" fontId="2" fillId="2" borderId="5" xfId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4" fillId="0" borderId="3" xfId="0" applyNumberFormat="1" applyFont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164" fontId="3" fillId="3" borderId="3" xfId="1" applyNumberFormat="1" applyFont="1" applyFill="1" applyBorder="1" applyAlignment="1">
      <alignment horizontal="center" vertical="center" wrapText="1"/>
    </xf>
    <xf numFmtId="42" fontId="3" fillId="4" borderId="3" xfId="1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4" fontId="3" fillId="7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3" fillId="0" borderId="3" xfId="0" applyNumberFormat="1" applyFont="1" applyBorder="1" applyAlignment="1">
      <alignment vertical="center" wrapText="1"/>
    </xf>
  </cellXfs>
  <cellStyles count="94">
    <cellStyle name="Currency 2" xfId="12" xr:uid="{C35AA549-2F2C-40E8-977E-301462848DCA}"/>
    <cellStyle name="Currency 2 2" xfId="24" xr:uid="{50AC7597-887A-4144-B9C8-85F6A2F0D24E}"/>
    <cellStyle name="Currency 2 2 2" xfId="51" xr:uid="{890CD235-3792-4410-829A-C3DBCD1C213C}"/>
    <cellStyle name="Currency 2 2 3" xfId="83" xr:uid="{DFBB3A8A-8A74-40BA-8D26-335D5402F39A}"/>
    <cellStyle name="Currency 2 3" xfId="39" xr:uid="{9EF7C26F-9309-46C1-8078-7FC03528BA61}"/>
    <cellStyle name="Currency 2 4" xfId="71" xr:uid="{A64379B8-456C-4691-9D29-D442EDA7F40E}"/>
    <cellStyle name="Currency 3" xfId="33" xr:uid="{4D31C624-E2CF-4620-9494-B8BE172F7475}"/>
    <cellStyle name="Currency 3 2" xfId="65" xr:uid="{79D88D3D-E991-4E8F-8D32-3400A3138211}"/>
    <cellStyle name="Currency 4" xfId="60" xr:uid="{9771B240-7E21-4B0C-A9C7-4AE1E987E97C}"/>
    <cellStyle name="Currency 5" xfId="92" xr:uid="{C9D94A47-5414-4128-B3F3-BBA787E3C766}"/>
    <cellStyle name="Excel Built-in Normal" xfId="4" xr:uid="{170053B9-3C50-494F-8EDB-8B7F0CA9D70B}"/>
    <cellStyle name="Excel Built-in Normal 2" xfId="5" xr:uid="{5E0EBC85-D4EA-4D54-9408-0428844CB751}"/>
    <cellStyle name="Hiperligação 2" xfId="6" xr:uid="{E5D2B3F7-8214-4AE2-BE62-CEB7A496B4C8}"/>
    <cellStyle name="Moeda 2" xfId="8" xr:uid="{75A7D13A-585F-49B2-90CA-4136C3D982A1}"/>
    <cellStyle name="Moeda 2 2" xfId="11" xr:uid="{A45D9359-9A3C-4DF5-B288-D1D932625F6C}"/>
    <cellStyle name="Moeda 2 2 2" xfId="23" xr:uid="{5D4D391E-62B7-42C2-890B-E794722BA4D8}"/>
    <cellStyle name="Moeda 2 2 2 2" xfId="50" xr:uid="{80AAF8CF-7266-434B-ADAD-516F1D0F33BD}"/>
    <cellStyle name="Moeda 2 2 2 3" xfId="82" xr:uid="{2D715E8C-BEE1-4587-8392-EDEF219F75C7}"/>
    <cellStyle name="Moeda 2 2 3" xfId="38" xr:uid="{60B79D97-42E8-4DAC-BADA-206C0F51E51A}"/>
    <cellStyle name="Moeda 2 2 4" xfId="70" xr:uid="{76659BAF-327C-406B-8C9D-7A8798E92C85}"/>
    <cellStyle name="Moeda 2 3" xfId="14" xr:uid="{D08424F9-D0D8-4CE8-92DF-BAA544E59C8E}"/>
    <cellStyle name="Moeda 2 3 2" xfId="26" xr:uid="{E92AA48F-0A8D-43B4-BABB-1F0D94ECC046}"/>
    <cellStyle name="Moeda 2 3 2 2" xfId="53" xr:uid="{8B21112E-4DB9-452F-B2E7-D7D2230668AF}"/>
    <cellStyle name="Moeda 2 3 2 3" xfId="85" xr:uid="{2171037D-AEB4-46FC-84E4-DE6E90C28351}"/>
    <cellStyle name="Moeda 2 3 3" xfId="41" xr:uid="{C46D3AEE-A2A5-42DD-9354-1FB85FC6DFB8}"/>
    <cellStyle name="Moeda 2 3 4" xfId="73" xr:uid="{1823A396-2E53-4539-99DE-81B76A8A4600}"/>
    <cellStyle name="Moeda 2 4" xfId="17" xr:uid="{47A698F9-BF1E-4918-A5F0-35EF6EAC9052}"/>
    <cellStyle name="Moeda 2 4 2" xfId="29" xr:uid="{45C70D2C-CF68-44B9-B271-1E7A17A8D3EC}"/>
    <cellStyle name="Moeda 2 4 2 2" xfId="56" xr:uid="{B152DF2A-4417-40B6-AA58-A00CE34EF974}"/>
    <cellStyle name="Moeda 2 4 2 3" xfId="88" xr:uid="{A41E3F57-E566-4422-AD7F-9AA3A4FFB5D1}"/>
    <cellStyle name="Moeda 2 4 3" xfId="44" xr:uid="{0CFD3926-EEC3-4735-9E94-DD98435057BC}"/>
    <cellStyle name="Moeda 2 4 4" xfId="76" xr:uid="{FB4A159D-7B4C-4573-9149-9C307664B179}"/>
    <cellStyle name="Moeda 2 5" xfId="20" xr:uid="{410A6F30-A8FF-4338-9D1C-902C4B82FCA1}"/>
    <cellStyle name="Moeda 2 5 2" xfId="47" xr:uid="{A3E86166-727B-4CC2-AF65-D4C260667872}"/>
    <cellStyle name="Moeda 2 5 3" xfId="79" xr:uid="{F5C46321-69E0-4E27-B440-9E5C7B827BF6}"/>
    <cellStyle name="Moeda 2 6" xfId="32" xr:uid="{1F3A0DBA-1286-409B-A1C9-3C5D9961E003}"/>
    <cellStyle name="Moeda 2 6 2" xfId="59" xr:uid="{8FF74808-A18E-415E-803D-A4E4645A83F1}"/>
    <cellStyle name="Moeda 2 6 3" xfId="91" xr:uid="{8694C820-15B0-440E-AF77-E9E36A6090CF}"/>
    <cellStyle name="Moeda 2 7" xfId="35" xr:uid="{2E65536C-0F24-448D-9A4D-512FA7BE1AA2}"/>
    <cellStyle name="Moeda 2 8" xfId="67" xr:uid="{7837918B-B7B1-4B60-869B-2B3B6D340C41}"/>
    <cellStyle name="Moeda 3" xfId="7" xr:uid="{51DBF51C-1CD4-4C64-8647-FA8453A1B910}"/>
    <cellStyle name="Moeda 3 2" xfId="10" xr:uid="{F659D78C-B412-46A2-BA64-D65404640D96}"/>
    <cellStyle name="Moeda 3 2 2" xfId="22" xr:uid="{9E4E667B-9734-4356-B3C4-297928870743}"/>
    <cellStyle name="Moeda 3 2 2 2" xfId="49" xr:uid="{97DAFB01-F6F5-4820-A841-0DE4FDBB50B9}"/>
    <cellStyle name="Moeda 3 2 2 3" xfId="81" xr:uid="{EE456799-2768-41D5-90E6-A1EAE377AA35}"/>
    <cellStyle name="Moeda 3 2 3" xfId="37" xr:uid="{0CBC865B-6E55-49C3-8BEF-485749C378E0}"/>
    <cellStyle name="Moeda 3 2 4" xfId="69" xr:uid="{A1DC4FDE-53BC-4689-A02B-5321E12FFD92}"/>
    <cellStyle name="Moeda 3 3" xfId="13" xr:uid="{9961FE29-C9BA-4366-8B3B-C3F3BBCA5D01}"/>
    <cellStyle name="Moeda 3 3 2" xfId="25" xr:uid="{7578DD71-905A-440E-B51C-314D51946EF8}"/>
    <cellStyle name="Moeda 3 3 2 2" xfId="52" xr:uid="{B95308A8-88CE-4877-A9FA-2C6E6F5002E5}"/>
    <cellStyle name="Moeda 3 3 2 3" xfId="84" xr:uid="{CDCBF6AA-0E11-42DD-84E9-9BAE97550843}"/>
    <cellStyle name="Moeda 3 3 3" xfId="40" xr:uid="{DAFBDAD7-3640-4E0E-8708-CB064D7CB85B}"/>
    <cellStyle name="Moeda 3 3 4" xfId="72" xr:uid="{119D5BE7-EF48-4325-97E3-AD350692C39F}"/>
    <cellStyle name="Moeda 3 4" xfId="16" xr:uid="{620B75AB-60BE-4315-9366-7A70DF5359F3}"/>
    <cellStyle name="Moeda 3 4 2" xfId="28" xr:uid="{A9868E17-83C4-41E4-BBF7-E163942070C9}"/>
    <cellStyle name="Moeda 3 4 2 2" xfId="55" xr:uid="{270BB37A-B597-408E-A59A-3A98DC44DEEB}"/>
    <cellStyle name="Moeda 3 4 2 3" xfId="87" xr:uid="{5140A9C2-E7BC-4D8A-9393-E838A69F02B7}"/>
    <cellStyle name="Moeda 3 4 3" xfId="43" xr:uid="{88E086B6-7B11-4EDF-82DE-97D59A3029E3}"/>
    <cellStyle name="Moeda 3 4 4" xfId="75" xr:uid="{F2316F90-166B-49C9-8A02-71603D37A437}"/>
    <cellStyle name="Moeda 3 5" xfId="19" xr:uid="{7F927CB5-7CD5-47D2-90BB-8F820846D8E5}"/>
    <cellStyle name="Moeda 3 5 2" xfId="46" xr:uid="{EE09EC6A-1E96-40D6-AE26-BBC81BE5F38A}"/>
    <cellStyle name="Moeda 3 5 3" xfId="78" xr:uid="{3E438643-4B8C-45EE-9371-08197CBDD3FD}"/>
    <cellStyle name="Moeda 3 6" xfId="31" xr:uid="{93646F05-714E-4D0C-8D28-D2E7D00A1BB0}"/>
    <cellStyle name="Moeda 3 6 2" xfId="58" xr:uid="{AC3A4A2F-1400-4BAD-9B26-516B81CA3BA5}"/>
    <cellStyle name="Moeda 3 6 3" xfId="90" xr:uid="{6EAF4B2E-05A4-462F-A554-7112A857824F}"/>
    <cellStyle name="Moeda 3 7" xfId="34" xr:uid="{15D1E6EB-D06A-4647-A7A6-EAD2B88A9785}"/>
    <cellStyle name="Moeda 3 8" xfId="66" xr:uid="{78A65454-3E34-4AF9-87A9-DDA5A87565A7}"/>
    <cellStyle name="Moeda 4" xfId="9" xr:uid="{36C193B1-4147-4B52-ACAB-FA15003697C8}"/>
    <cellStyle name="Moeda 4 2" xfId="21" xr:uid="{559AFC2D-0BCE-4233-8BAA-1A945B115148}"/>
    <cellStyle name="Moeda 4 2 2" xfId="48" xr:uid="{5A42E1BC-0518-4D85-9F14-ECEF9991E097}"/>
    <cellStyle name="Moeda 4 2 3" xfId="80" xr:uid="{2F6C7EF5-67D6-40C8-823B-F097DFF8EFED}"/>
    <cellStyle name="Moeda 4 3" xfId="36" xr:uid="{2F9A4FF9-2D4D-42BE-83E6-2C51B9E6F91B}"/>
    <cellStyle name="Moeda 4 4" xfId="68" xr:uid="{E1D6531E-8680-46B5-BF7A-0C5EBB510C78}"/>
    <cellStyle name="Moeda 5" xfId="15" xr:uid="{2897E53D-8D11-4276-80E7-10168A8120C2}"/>
    <cellStyle name="Moeda 5 2" xfId="27" xr:uid="{DBC3C77F-8D40-4F5C-9432-3A7679EF8FC2}"/>
    <cellStyle name="Moeda 5 2 2" xfId="54" xr:uid="{A350E952-207D-43EC-A203-F5D20AE7513F}"/>
    <cellStyle name="Moeda 5 2 3" xfId="86" xr:uid="{ECF8059B-371D-4EAA-9C05-B1EED72E161A}"/>
    <cellStyle name="Moeda 5 3" xfId="42" xr:uid="{F4AD1639-0A15-4AF0-AD0F-9CC530F0C8FC}"/>
    <cellStyle name="Moeda 5 4" xfId="74" xr:uid="{BD57841B-FA57-49FA-A645-CB83CE118A86}"/>
    <cellStyle name="Moeda 6" xfId="18" xr:uid="{07C16DC8-66AA-4543-94EC-FC3964A07FE1}"/>
    <cellStyle name="Moeda 6 2" xfId="45" xr:uid="{30D757C6-4B9D-4AD1-8111-E7843592ADFE}"/>
    <cellStyle name="Moeda 6 3" xfId="77" xr:uid="{30EB2407-5AB5-4FEC-B8EB-AF6D36341156}"/>
    <cellStyle name="Moeda 7" xfId="30" xr:uid="{BB84AB27-5709-411B-A53F-9C6DAD76BFC5}"/>
    <cellStyle name="Moeda 7 2" xfId="57" xr:uid="{097E6802-12DD-4C56-89F6-BC0FC3E9EF53}"/>
    <cellStyle name="Moeda 7 3" xfId="89" xr:uid="{D7EF4F99-51EB-4131-AD9F-C36875FC9A61}"/>
    <cellStyle name="Moeda 8" xfId="1" xr:uid="{02AEE8CD-5452-4808-8A2A-DE33E334A21C}"/>
    <cellStyle name="Normal" xfId="0" builtinId="0"/>
    <cellStyle name="Normal 2" xfId="2" xr:uid="{5FA7333C-1171-42D3-BBD3-C21949B47195}"/>
    <cellStyle name="Normal 2 2" xfId="64" xr:uid="{04CDD7DB-F5D3-4F6B-B31E-0F3795E84EF1}"/>
    <cellStyle name="Normal 3" xfId="3" xr:uid="{34446D7A-CEC3-48EF-B72C-82000C49131D}"/>
    <cellStyle name="Normal 3 2" xfId="63" xr:uid="{3AB73699-111E-4A06-B86B-C1C699D5E130}"/>
    <cellStyle name="Normal 4" xfId="61" xr:uid="{C841AB1B-9B95-4DCA-80E4-0D03DF16CB18}"/>
    <cellStyle name="Normal 5" xfId="62" xr:uid="{AEACBD98-7A76-40F5-AA72-118EF28C0738}"/>
    <cellStyle name="Normal 5 2" xfId="93" xr:uid="{DDDE40E4-C653-4585-8B63-D96C9B443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4695-6BA4-493A-ABA0-1953E70D5C52}">
  <dimension ref="A1:V13"/>
  <sheetViews>
    <sheetView tabSelected="1" workbookViewId="0">
      <selection activeCell="B1" sqref="B1"/>
    </sheetView>
  </sheetViews>
  <sheetFormatPr defaultRowHeight="15" x14ac:dyDescent="0.25"/>
  <cols>
    <col min="1" max="1" width="9.140625" style="17"/>
    <col min="2" max="2" width="8.28515625" style="17" bestFit="1" customWidth="1"/>
    <col min="3" max="3" width="9.140625" style="17"/>
    <col min="4" max="4" width="11.5703125" style="17" bestFit="1" customWidth="1"/>
    <col min="5" max="5" width="5" style="17" customWidth="1"/>
    <col min="6" max="6" width="4" style="17" bestFit="1" customWidth="1"/>
    <col min="7" max="7" width="6.42578125" style="17" bestFit="1" customWidth="1"/>
    <col min="8" max="8" width="4" style="17" bestFit="1" customWidth="1"/>
    <col min="9" max="9" width="6.42578125" style="17" bestFit="1" customWidth="1"/>
    <col min="10" max="10" width="4" style="17" bestFit="1" customWidth="1"/>
    <col min="11" max="11" width="6.42578125" style="17" bestFit="1" customWidth="1"/>
    <col min="12" max="12" width="4" style="17" bestFit="1" customWidth="1"/>
    <col min="13" max="13" width="6.42578125" style="17" bestFit="1" customWidth="1"/>
    <col min="14" max="14" width="5.7109375" style="17" bestFit="1" customWidth="1"/>
    <col min="15" max="15" width="8.5703125" style="17" bestFit="1" customWidth="1"/>
    <col min="16" max="16" width="8.42578125" style="17" bestFit="1" customWidth="1"/>
    <col min="17" max="17" width="12.7109375" style="17" bestFit="1" customWidth="1"/>
    <col min="18" max="18" width="5.28515625" style="17" bestFit="1" customWidth="1"/>
    <col min="19" max="19" width="12.85546875" style="17" bestFit="1" customWidth="1"/>
    <col min="20" max="20" width="11.28515625" style="17" bestFit="1" customWidth="1"/>
    <col min="21" max="21" width="9.140625" style="17"/>
    <col min="22" max="22" width="12.7109375" style="17" bestFit="1" customWidth="1"/>
    <col min="23" max="16384" width="9.140625" style="17"/>
  </cols>
  <sheetData>
    <row r="1" spans="1:22" x14ac:dyDescent="0.25">
      <c r="A1" s="2" t="s">
        <v>21</v>
      </c>
      <c r="B1" s="2" t="s">
        <v>13</v>
      </c>
      <c r="C1" s="3" t="s">
        <v>19</v>
      </c>
      <c r="D1" s="3" t="s">
        <v>18</v>
      </c>
      <c r="E1" s="3" t="s">
        <v>20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4" t="s">
        <v>12</v>
      </c>
      <c r="P1" s="3" t="s">
        <v>9</v>
      </c>
      <c r="Q1" s="3" t="s">
        <v>10</v>
      </c>
      <c r="R1" s="5" t="s">
        <v>11</v>
      </c>
      <c r="S1" s="6" t="s">
        <v>14</v>
      </c>
      <c r="T1" s="7" t="s">
        <v>15</v>
      </c>
      <c r="U1" s="4" t="s">
        <v>16</v>
      </c>
      <c r="V1" s="8" t="s">
        <v>17</v>
      </c>
    </row>
    <row r="2" spans="1:22" ht="30" customHeight="1" x14ac:dyDescent="0.25">
      <c r="A2" s="1"/>
      <c r="B2" s="1"/>
      <c r="C2" s="1"/>
      <c r="D2" s="1"/>
      <c r="E2" s="1"/>
      <c r="F2" s="9"/>
      <c r="G2" s="1"/>
      <c r="H2" s="1"/>
      <c r="I2" s="1"/>
      <c r="J2" s="1"/>
      <c r="K2" s="1"/>
      <c r="L2" s="18"/>
      <c r="M2" s="1"/>
      <c r="N2" s="10"/>
      <c r="O2" s="11"/>
      <c r="P2" s="12">
        <f>+F2+H2+J2+L2</f>
        <v>0</v>
      </c>
      <c r="Q2" s="13">
        <f>(+N2+P2)/0.6+O2</f>
        <v>0</v>
      </c>
      <c r="R2" s="14">
        <f>Q2*2</f>
        <v>0</v>
      </c>
      <c r="S2" s="15">
        <f>+R2*0.6</f>
        <v>0</v>
      </c>
      <c r="T2" s="16" t="e">
        <f>(S2+P2)/(S2)</f>
        <v>#DIV/0!</v>
      </c>
      <c r="U2" s="1"/>
      <c r="V2" s="1"/>
    </row>
    <row r="3" spans="1:22" ht="30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0"/>
      <c r="O3" s="11"/>
      <c r="P3" s="12">
        <f t="shared" ref="P3:P13" si="0">+F3+H3+J3+L3</f>
        <v>0</v>
      </c>
      <c r="Q3" s="13">
        <f t="shared" ref="Q3:Q13" si="1">(+N3+P3)/0.6+O3</f>
        <v>0</v>
      </c>
      <c r="R3" s="14">
        <f t="shared" ref="R3:R13" si="2">Q3*2</f>
        <v>0</v>
      </c>
      <c r="S3" s="15">
        <f t="shared" ref="S3:S13" si="3">+R3*0.6</f>
        <v>0</v>
      </c>
      <c r="T3" s="16" t="e">
        <f t="shared" ref="T3:T13" si="4">(S3+P3)/(S3)</f>
        <v>#DIV/0!</v>
      </c>
      <c r="U3" s="1"/>
      <c r="V3" s="1"/>
    </row>
    <row r="4" spans="1:22" ht="30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0"/>
      <c r="O4" s="11"/>
      <c r="P4" s="12">
        <f t="shared" si="0"/>
        <v>0</v>
      </c>
      <c r="Q4" s="13">
        <f t="shared" si="1"/>
        <v>0</v>
      </c>
      <c r="R4" s="14">
        <f t="shared" si="2"/>
        <v>0</v>
      </c>
      <c r="S4" s="15">
        <f t="shared" si="3"/>
        <v>0</v>
      </c>
      <c r="T4" s="16" t="e">
        <f t="shared" si="4"/>
        <v>#DIV/0!</v>
      </c>
      <c r="U4" s="1"/>
      <c r="V4" s="1"/>
    </row>
    <row r="5" spans="1:22" ht="30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0"/>
      <c r="O5" s="11"/>
      <c r="P5" s="12">
        <f t="shared" si="0"/>
        <v>0</v>
      </c>
      <c r="Q5" s="13">
        <f t="shared" si="1"/>
        <v>0</v>
      </c>
      <c r="R5" s="14">
        <f t="shared" si="2"/>
        <v>0</v>
      </c>
      <c r="S5" s="15">
        <f t="shared" si="3"/>
        <v>0</v>
      </c>
      <c r="T5" s="16" t="e">
        <f t="shared" si="4"/>
        <v>#DIV/0!</v>
      </c>
      <c r="U5" s="1"/>
      <c r="V5" s="1"/>
    </row>
    <row r="6" spans="1:22" ht="30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"/>
      <c r="O6" s="11"/>
      <c r="P6" s="12">
        <f t="shared" si="0"/>
        <v>0</v>
      </c>
      <c r="Q6" s="13">
        <f t="shared" si="1"/>
        <v>0</v>
      </c>
      <c r="R6" s="14">
        <f t="shared" si="2"/>
        <v>0</v>
      </c>
      <c r="S6" s="15">
        <f t="shared" si="3"/>
        <v>0</v>
      </c>
      <c r="T6" s="16" t="e">
        <f t="shared" si="4"/>
        <v>#DIV/0!</v>
      </c>
      <c r="U6" s="1"/>
      <c r="V6" s="1"/>
    </row>
    <row r="7" spans="1:22" ht="30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/>
      <c r="O7" s="11"/>
      <c r="P7" s="12">
        <f t="shared" si="0"/>
        <v>0</v>
      </c>
      <c r="Q7" s="13">
        <f t="shared" si="1"/>
        <v>0</v>
      </c>
      <c r="R7" s="14">
        <f t="shared" si="2"/>
        <v>0</v>
      </c>
      <c r="S7" s="15">
        <f t="shared" si="3"/>
        <v>0</v>
      </c>
      <c r="T7" s="16" t="e">
        <f t="shared" si="4"/>
        <v>#DIV/0!</v>
      </c>
      <c r="U7" s="1"/>
      <c r="V7" s="1"/>
    </row>
    <row r="8" spans="1:22" ht="30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/>
      <c r="O8" s="11"/>
      <c r="P8" s="12">
        <f t="shared" si="0"/>
        <v>0</v>
      </c>
      <c r="Q8" s="13">
        <f t="shared" si="1"/>
        <v>0</v>
      </c>
      <c r="R8" s="14">
        <f t="shared" si="2"/>
        <v>0</v>
      </c>
      <c r="S8" s="15">
        <f t="shared" si="3"/>
        <v>0</v>
      </c>
      <c r="T8" s="16" t="e">
        <f t="shared" si="4"/>
        <v>#DIV/0!</v>
      </c>
      <c r="U8" s="1"/>
      <c r="V8" s="1"/>
    </row>
    <row r="9" spans="1:22" ht="30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/>
      <c r="O9" s="11"/>
      <c r="P9" s="12">
        <f t="shared" si="0"/>
        <v>0</v>
      </c>
      <c r="Q9" s="13">
        <f t="shared" si="1"/>
        <v>0</v>
      </c>
      <c r="R9" s="14">
        <f t="shared" si="2"/>
        <v>0</v>
      </c>
      <c r="S9" s="15">
        <f t="shared" si="3"/>
        <v>0</v>
      </c>
      <c r="T9" s="16" t="e">
        <f t="shared" si="4"/>
        <v>#DIV/0!</v>
      </c>
      <c r="U9" s="1"/>
      <c r="V9" s="1"/>
    </row>
    <row r="10" spans="1:22" ht="30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/>
      <c r="O10" s="11"/>
      <c r="P10" s="12">
        <f t="shared" si="0"/>
        <v>0</v>
      </c>
      <c r="Q10" s="13">
        <f t="shared" si="1"/>
        <v>0</v>
      </c>
      <c r="R10" s="14">
        <f t="shared" si="2"/>
        <v>0</v>
      </c>
      <c r="S10" s="15">
        <f t="shared" si="3"/>
        <v>0</v>
      </c>
      <c r="T10" s="16" t="e">
        <f t="shared" si="4"/>
        <v>#DIV/0!</v>
      </c>
      <c r="U10" s="1"/>
      <c r="V10" s="1"/>
    </row>
    <row r="11" spans="1:22" ht="30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/>
      <c r="O11" s="11"/>
      <c r="P11" s="12">
        <f t="shared" si="0"/>
        <v>0</v>
      </c>
      <c r="Q11" s="13">
        <f t="shared" si="1"/>
        <v>0</v>
      </c>
      <c r="R11" s="14">
        <f t="shared" si="2"/>
        <v>0</v>
      </c>
      <c r="S11" s="15">
        <f t="shared" si="3"/>
        <v>0</v>
      </c>
      <c r="T11" s="16" t="e">
        <f t="shared" si="4"/>
        <v>#DIV/0!</v>
      </c>
      <c r="U11" s="1"/>
      <c r="V11" s="1"/>
    </row>
    <row r="12" spans="1:22" ht="30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/>
      <c r="O12" s="11"/>
      <c r="P12" s="12">
        <f t="shared" si="0"/>
        <v>0</v>
      </c>
      <c r="Q12" s="13">
        <f t="shared" si="1"/>
        <v>0</v>
      </c>
      <c r="R12" s="14">
        <f t="shared" si="2"/>
        <v>0</v>
      </c>
      <c r="S12" s="15">
        <f t="shared" si="3"/>
        <v>0</v>
      </c>
      <c r="T12" s="16" t="e">
        <f t="shared" si="4"/>
        <v>#DIV/0!</v>
      </c>
      <c r="U12" s="1"/>
      <c r="V12" s="1"/>
    </row>
    <row r="13" spans="1:22" ht="30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/>
      <c r="O13" s="11"/>
      <c r="P13" s="12">
        <f t="shared" si="0"/>
        <v>0</v>
      </c>
      <c r="Q13" s="13">
        <f t="shared" si="1"/>
        <v>0</v>
      </c>
      <c r="R13" s="14">
        <f t="shared" si="2"/>
        <v>0</v>
      </c>
      <c r="S13" s="15">
        <f t="shared" si="3"/>
        <v>0</v>
      </c>
      <c r="T13" s="16" t="e">
        <f t="shared" si="4"/>
        <v>#DIV/0!</v>
      </c>
      <c r="U13" s="1"/>
      <c r="V1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Pinto</dc:creator>
  <cp:lastModifiedBy>Paula Pacheco</cp:lastModifiedBy>
  <dcterms:created xsi:type="dcterms:W3CDTF">2021-09-24T14:27:49Z</dcterms:created>
  <dcterms:modified xsi:type="dcterms:W3CDTF">2024-09-10T12:44:28Z</dcterms:modified>
</cp:coreProperties>
</file>