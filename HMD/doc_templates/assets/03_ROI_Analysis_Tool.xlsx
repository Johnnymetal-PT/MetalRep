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588a94399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Resumo ROI" sheetId="1" r:id="R26842fb3262a4c60"/>
    <x:sheet xmlns:r="http://schemas.openxmlformats.org/officeDocument/2006/relationships" name="2. Retornos por Dept." sheetId="2" r:id="R0ffc15d2ada54ae1"/>
    <x:sheet xmlns:r="http://schemas.openxmlformats.org/officeDocument/2006/relationships" name="3. Plano de Projeto" sheetId="3" r:id="R61bbabd390c2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€ #,##0.00"/>
    <x:numFmt numFmtId="201" formatCode="0%"/>
    <x:numFmt numFmtId="202" formatCode="0.0"/>
    <x:numFmt numFmtId="203" formatCode="€ #,##0"/>
  </x:numFmts>
  <x:fonts count="13">
    <x:font>
      <x:sz val="11"/>
      <x:name val="Carlito"/>
    </x:font>
    <x:font>
      <x:sz val="11"/>
      <x:color rgb="222222"/>
      <x:name val="Calibri"/>
    </x:font>
    <x:font>
      <x:b/>
      <x:sz val="16"/>
      <x:color rgb="FFFFFF"/>
      <x:name val="Calibri"/>
    </x:font>
    <x:font>
      <x:b/>
      <x:sz val="11"/>
      <x:color rgb="FFFFFF"/>
      <x:name val="Calibri"/>
    </x:font>
    <x:font>
      <x:b/>
      <x:sz val="11"/>
      <x:color rgb="7030A0"/>
      <x:name val="Calibri"/>
    </x:font>
    <x:font>
      <x:i/>
      <x:sz val="11"/>
      <x:color rgb="222222"/>
      <x:name val="Calibri"/>
    </x:font>
    <x:font>
      <x:b/>
      <x:sz val="10"/>
      <x:color rgb="1F2937"/>
      <x:name val="Aptos"/>
    </x:font>
    <x:font>
      <x:sz val="10"/>
      <x:color rgb="1F2937"/>
      <x:name val="Aptos"/>
    </x:font>
    <x:font>
      <x:b/>
      <x:sz val="15"/>
      <x:color rgb="FFFFFF"/>
      <x:name val="Aptos"/>
    </x:font>
    <x:font>
      <x:b/>
      <x:sz val="10"/>
      <x:color rgb="FFFFFF"/>
      <x:name val="Aptos"/>
    </x:font>
    <x:font>
      <x:b/>
      <x:sz val="10"/>
      <x:color rgb="151D2B"/>
      <x:name val="Aptos"/>
    </x:font>
    <x:font>
      <x:b/>
      <x:sz val="10"/>
      <x:color rgb="0094E9"/>
      <x:name val="Aptos"/>
    </x:font>
    <x:font>
      <x:i/>
      <x:sz val="10"/>
      <x:color rgb="1F2937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7030A0"/>
      </x:patternFill>
    </x:fill>
    <x:fill>
      <x:patternFill patternType="solid">
        <x:fgColor rgb="FFFFFF"/>
      </x:patternFill>
    </x:fill>
    <x:fill>
      <x:patternFill patternType="solid">
        <x:fgColor rgb="F2F2F2"/>
      </x:patternFill>
    </x:fill>
    <x:fill>
      <x:patternFill patternType="solid">
        <x:fgColor rgb="E8D6F3"/>
      </x:patternFill>
    </x:fill>
    <x:fill>
      <x:patternFill patternType="solid">
        <x:fgColor rgb="FFFFFF"/>
      </x:patternFill>
    </x:fill>
    <x:fill>
      <x:patternFill patternType="solid">
        <x:fgColor rgb="151D2B"/>
      </x:patternFill>
    </x:fill>
    <x:fill>
      <x:patternFill patternType="solid">
        <x:fgColor rgb="0094E9"/>
      </x:patternFill>
    </x:fill>
    <x:fill>
      <x:patternFill patternType="solid">
        <x:fgColor rgb="F8FBFE"/>
      </x:patternFill>
    </x:fill>
    <x:fill>
      <x:patternFill patternType="solid">
        <x:fgColor rgb="E5F4FD"/>
      </x:patternFill>
    </x:fill>
    <x:fill>
      <x:patternFill patternType="solid">
        <x:fgColor rgb="EBF7FF"/>
      </x:patternFill>
    </x:fill>
  </x:fills>
  <x:borders count="34">
    <x:border/>
    <x:border/>
    <x:border>
      <x:left style="thin">
        <x:color rgb="5A247E"/>
      </x:left>
      <x:top style="thin">
        <x:color rgb="5A247E"/>
      </x:top>
      <x:bottom style="thin">
        <x:color rgb="5A247E"/>
      </x:bottom>
    </x:border>
    <x:border>
      <x:top style="thin">
        <x:color rgb="5A247E"/>
      </x:top>
      <x:bottom style="thin">
        <x:color rgb="5A247E"/>
      </x:bottom>
    </x:border>
    <x:border>
      <x:right style="thin">
        <x:color rgb="5A247E"/>
      </x:right>
      <x:top style="thin">
        <x:color rgb="5A247E"/>
      </x:top>
      <x:bottom style="thin">
        <x:color rgb="5A247E"/>
      </x:bottom>
    </x:border>
    <x:border>
      <x:left style="thin">
        <x:color rgb="5A247E"/>
      </x:left>
      <x:top style="thin">
        <x:color rgb="5A247E"/>
      </x:top>
      <x:bottom style="thin">
        <x:color rgb="5A247E"/>
      </x:bottom>
    </x:border>
    <x:border>
      <x:top style="thin">
        <x:color rgb="5A247E"/>
      </x:top>
      <x:bottom style="thin">
        <x:color rgb="5A247E"/>
      </x:bottom>
    </x:border>
    <x:border>
      <x:right style="thin">
        <x:color rgb="5A247E"/>
      </x:right>
      <x:top style="thin">
        <x:color rgb="5A247E"/>
      </x:top>
      <x:bottom style="thin">
        <x:color rgb="5A247E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right style="thin">
        <x:color rgb="C9C9C9"/>
      </x:right>
    </x:border>
    <x:border>
      <x:left style="thin">
        <x:color rgb="C9C9C9"/>
      </x:left>
      <x:right style="thin">
        <x:color rgb="C9C9C9"/>
      </x:right>
    </x:border>
    <x:border>
      <x:left style="thin">
        <x:color rgb="C9C9C9"/>
      </x:left>
    </x:border>
    <x:border>
      <x:right style="thin">
        <x:color rgb="C9C9C9"/>
      </x:right>
    </x:border>
    <x:border>
      <x:left style="thin">
        <x:color rgb="C9C9C9"/>
      </x:left>
      <x:right style="thin">
        <x:color rgb="C9C9C9"/>
      </x:right>
    </x:border>
    <x:border>
      <x:left style="thin">
        <x:color rgb="C9C9C9"/>
      </x:left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right style="thin">
        <x:color rgb="C9C9C9"/>
      </x:right>
      <x:bottom style="thin">
        <x:color rgb="C9C9C9"/>
      </x:bottom>
    </x:border>
    <x:border>
      <x:left style="thin">
        <x:color rgb="C9C9C9"/>
      </x:left>
      <x:right style="thin">
        <x:color rgb="C9C9C9"/>
      </x:right>
      <x:bottom style="thin">
        <x:color rgb="C9C9C9"/>
      </x:bottom>
    </x:border>
    <x:border>
      <x:left style="thin">
        <x:color rgb="C9C9C9"/>
      </x:left>
      <x:bottom style="thin">
        <x:color rgb="C9C9C9"/>
      </x:bottom>
    </x:border>
    <x:border>
      <x:right style="thin">
        <x:color rgb="C9C9C9"/>
      </x:right>
      <x:top style="thin">
        <x:color rgb="C9C9C9"/>
      </x:top>
    </x:border>
    <x:border>
      <x:left style="thin">
        <x:color rgb="C9C9C9"/>
      </x:left>
      <x:right style="thin">
        <x:color rgb="C9C9C9"/>
      </x:right>
      <x:top style="thin">
        <x:color rgb="C9C9C9"/>
      </x:top>
    </x:border>
    <x:border>
      <x:left style="thin">
        <x:color rgb="C9C9C9"/>
      </x:left>
      <x:top style="thin">
        <x:color rgb="C9C9C9"/>
      </x:top>
    </x:border>
    <x:border>
      <x:right style="thin">
        <x:color rgb="C9C9C9"/>
      </x:right>
      <x:bottom style="thin">
        <x:color rgb="C9C9C9"/>
      </x:bottom>
    </x:border>
    <x:border>
      <x:left style="thin">
        <x:color rgb="C9C9C9"/>
      </x:left>
      <x:right style="thin">
        <x:color rgb="C9C9C9"/>
      </x:right>
      <x:bottom style="thin">
        <x:color rgb="C9C9C9"/>
      </x:bottom>
    </x:border>
    <x:border>
      <x:left style="thin">
        <x:color rgb="C9C9C9"/>
      </x:left>
      <x:bottom style="thin">
        <x:color rgb="C9C9C9"/>
      </x:bottom>
    </x:border>
    <x:border>
      <x:right style="thin">
        <x:color rgb="C9C9C9"/>
      </x:right>
      <x:top style="thin">
        <x:color rgb="C9C9C9"/>
      </x:top>
    </x:border>
    <x:border>
      <x:left style="thin">
        <x:color rgb="C9C9C9"/>
      </x:left>
      <x:right style="thin">
        <x:color rgb="C9C9C9"/>
      </x:right>
      <x:top style="thin">
        <x:color rgb="C9C9C9"/>
      </x:top>
    </x:border>
    <x:border>
      <x:left style="thin">
        <x:color rgb="C9C9C9"/>
      </x:left>
      <x:top style="thin">
        <x:color rgb="C9C9C9"/>
      </x:top>
    </x:border>
  </x:borders>
  <x:cellStyleXfs count="1">
    <x:xf numFmtId="0" fontId="0" fillId="0" borderId="0"/>
  </x:cellStyleXfs>
  <x:cellXfs count="2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1" fillId="3" borderId="1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7" xfId="0" applyNumberFormat="1" applyFont="1" applyFill="1" applyBorder="1" applyAlignment="1">
      <x:alignment vertical="center" wrapText="1"/>
    </x:xf>
    <x:xf numFmtId="0" fontId="3" fillId="2" borderId="18" xfId="0" applyNumberFormat="1" applyFont="1" applyFill="1" applyBorder="1" applyAlignment="1">
      <x:alignment vertical="center" wrapText="1"/>
    </x:xf>
    <x:xf numFmtId="0" fontId="3" fillId="2" borderId="19" xfId="0" applyNumberFormat="1" applyFont="1" applyFill="1" applyBorder="1" applyAlignment="1">
      <x:alignment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1" fillId="0" borderId="32" xfId="0" applyNumberFormat="1" applyFont="1" applyFill="1" applyBorder="1" applyAlignment="1">
      <x:alignment vertical="center" wrapText="1"/>
    </x:xf>
    <x:xf numFmtId="0" fontId="1" fillId="0" borderId="33" xfId="0" applyNumberFormat="1" applyFont="1" applyFill="1" applyBorder="1" applyAlignment="1">
      <x:alignment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4" borderId="2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200" fontId="1" fillId="0" borderId="20" xfId="0" applyNumberFormat="1" applyFont="1" applyFill="1" applyBorder="1" applyAlignment="1">
      <x:alignment vertical="center" wrapText="1"/>
    </x:xf>
    <x:xf numFmtId="200" fontId="1" fillId="4" borderId="20" xfId="0" applyNumberFormat="1" applyFont="1" applyFill="1" applyBorder="1" applyAlignment="1">
      <x:alignment vertical="center" wrapText="1"/>
    </x:xf>
    <x:xf numFmtId="200" fontId="4" fillId="5" borderId="20" xfId="0" applyNumberFormat="1" applyFont="1" applyFill="1" applyBorder="1" applyAlignment="1">
      <x:alignment vertical="center" wrapText="1"/>
    </x:xf>
    <x:xf numFmtId="200" fontId="1" fillId="0" borderId="21" xfId="0" applyNumberFormat="1" applyFont="1" applyFill="1" applyBorder="1" applyAlignment="1">
      <x:alignment vertical="center" wrapText="1"/>
    </x:xf>
    <x:xf numFmtId="200" fontId="1" fillId="4" borderId="21" xfId="0" applyNumberFormat="1" applyFont="1" applyFill="1" applyBorder="1" applyAlignment="1">
      <x:alignment vertical="center" wrapText="1"/>
    </x:xf>
    <x:xf numFmtId="200" fontId="4" fillId="5" borderId="21" xfId="0" applyNumberFormat="1" applyFont="1" applyFill="1" applyBorder="1" applyAlignment="1">
      <x:alignment vertical="center" wrapText="1"/>
    </x:xf>
    <x:xf numFmtId="201" fontId="1" fillId="0" borderId="20" xfId="0" applyNumberFormat="1" applyFont="1" applyFill="1" applyBorder="1" applyAlignment="1">
      <x:alignment vertical="center" wrapText="1"/>
    </x:xf>
    <x:xf numFmtId="201" fontId="1" fillId="4" borderId="20" xfId="0" applyNumberFormat="1" applyFont="1" applyFill="1" applyBorder="1" applyAlignment="1">
      <x:alignment vertical="center" wrapText="1"/>
    </x:xf>
    <x:xf numFmtId="201" fontId="4" fillId="5" borderId="20" xfId="0" applyNumberFormat="1" applyFont="1" applyFill="1" applyBorder="1" applyAlignment="1">
      <x:alignment vertical="center" wrapText="1"/>
    </x:xf>
    <x:xf numFmtId="201" fontId="1" fillId="0" borderId="21" xfId="0" applyNumberFormat="1" applyFont="1" applyFill="1" applyBorder="1" applyAlignment="1">
      <x:alignment vertical="center" wrapText="1"/>
    </x:xf>
    <x:xf numFmtId="201" fontId="1" fillId="4" borderId="21" xfId="0" applyNumberFormat="1" applyFont="1" applyFill="1" applyBorder="1" applyAlignment="1">
      <x:alignment vertical="center" wrapText="1"/>
    </x:xf>
    <x:xf numFmtId="201" fontId="4" fillId="5" borderId="21" xfId="0" applyNumberFormat="1" applyFont="1" applyFill="1" applyBorder="1" applyAlignment="1">
      <x:alignment vertical="center" wrapText="1"/>
    </x:xf>
    <x:xf numFmtId="202" fontId="1" fillId="0" borderId="20" xfId="0" applyNumberFormat="1" applyFont="1" applyFill="1" applyBorder="1" applyAlignment="1">
      <x:alignment vertical="center" wrapText="1"/>
    </x:xf>
    <x:xf numFmtId="202" fontId="1" fillId="4" borderId="20" xfId="0" applyNumberFormat="1" applyFont="1" applyFill="1" applyBorder="1" applyAlignment="1">
      <x:alignment vertical="center" wrapText="1"/>
    </x:xf>
    <x:xf numFmtId="202" fontId="4" fillId="5" borderId="20" xfId="0" applyNumberFormat="1" applyFont="1" applyFill="1" applyBorder="1" applyAlignment="1">
      <x:alignment vertical="center" wrapText="1"/>
    </x:xf>
    <x:xf numFmtId="202" fontId="1" fillId="0" borderId="21" xfId="0" applyNumberFormat="1" applyFont="1" applyFill="1" applyBorder="1" applyAlignment="1">
      <x:alignment vertical="center" wrapText="1"/>
    </x:xf>
    <x:xf numFmtId="202" fontId="1" fillId="4" borderId="21" xfId="0" applyNumberFormat="1" applyFont="1" applyFill="1" applyBorder="1" applyAlignment="1">
      <x:alignment vertical="center" wrapText="1"/>
    </x:xf>
    <x:xf numFmtId="202" fontId="4" fillId="5" borderId="21" xfId="0" applyNumberFormat="1" applyFont="1" applyFill="1" applyBorder="1" applyAlignment="1">
      <x:alignment vertical="center" wrapText="1"/>
    </x:xf>
    <x:xf numFmtId="202" fontId="1" fillId="0" borderId="20" xfId="0" applyNumberFormat="1" applyFont="1" applyFill="1" applyBorder="1" applyAlignment="1">
      <x:alignment horizontal="center" vertical="center" wrapText="1"/>
    </x:xf>
    <x:xf numFmtId="200" fontId="1" fillId="0" borderId="20" xfId="0" applyNumberFormat="1" applyFont="1" applyFill="1" applyBorder="1" applyAlignment="1">
      <x:alignment horizontal="center" vertical="center" wrapText="1"/>
    </x:xf>
    <x:xf numFmtId="201" fontId="1" fillId="0" borderId="20" xfId="0" applyNumberFormat="1" applyFont="1" applyFill="1" applyBorder="1" applyAlignment="1">
      <x:alignment horizontal="center" vertical="center" wrapText="1"/>
    </x:xf>
    <x:xf numFmtId="202" fontId="1" fillId="4" borderId="20" xfId="0" applyNumberFormat="1" applyFont="1" applyFill="1" applyBorder="1" applyAlignment="1">
      <x:alignment horizontal="center" vertical="center" wrapText="1"/>
    </x:xf>
    <x:xf numFmtId="200" fontId="1" fillId="4" borderId="20" xfId="0" applyNumberFormat="1" applyFont="1" applyFill="1" applyBorder="1" applyAlignment="1">
      <x:alignment horizontal="center" vertical="center" wrapText="1"/>
    </x:xf>
    <x:xf numFmtId="201" fontId="1" fillId="4" borderId="20" xfId="0" applyNumberFormat="1" applyFont="1" applyFill="1" applyBorder="1" applyAlignment="1">
      <x:alignment horizontal="center" vertical="center" wrapText="1"/>
    </x:xf>
    <x:xf numFmtId="202" fontId="4" fillId="5" borderId="20" xfId="0" applyNumberFormat="1" applyFont="1" applyFill="1" applyBorder="1" applyAlignment="1">
      <x:alignment horizontal="center" vertical="center" wrapText="1"/>
    </x:xf>
    <x:xf numFmtId="200" fontId="4" fillId="5" borderId="20" xfId="0" applyNumberFormat="1" applyFont="1" applyFill="1" applyBorder="1" applyAlignment="1">
      <x:alignment horizontal="center" vertical="center" wrapText="1"/>
    </x:xf>
    <x:xf numFmtId="201" fontId="4" fillId="5" borderId="20" xfId="0" applyNumberFormat="1" applyFont="1" applyFill="1" applyBorder="1" applyAlignment="1">
      <x:alignment horizontal="center" vertical="center" wrapText="1"/>
    </x:xf>
    <x:xf numFmtId="202" fontId="1" fillId="0" borderId="21" xfId="0" applyNumberFormat="1" applyFont="1" applyFill="1" applyBorder="1" applyAlignment="1">
      <x:alignment horizontal="center" vertical="center" wrapText="1"/>
    </x:xf>
    <x:xf numFmtId="200" fontId="1" fillId="0" borderId="21" xfId="0" applyNumberFormat="1" applyFont="1" applyFill="1" applyBorder="1" applyAlignment="1">
      <x:alignment horizontal="center" vertical="center" wrapText="1"/>
    </x:xf>
    <x:xf numFmtId="201" fontId="1" fillId="0" borderId="21" xfId="0" applyNumberFormat="1" applyFont="1" applyFill="1" applyBorder="1" applyAlignment="1">
      <x:alignment horizontal="center" vertical="center" wrapText="1"/>
    </x:xf>
    <x:xf numFmtId="202" fontId="1" fillId="4" borderId="21" xfId="0" applyNumberFormat="1" applyFont="1" applyFill="1" applyBorder="1" applyAlignment="1">
      <x:alignment horizontal="center" vertical="center" wrapText="1"/>
    </x:xf>
    <x:xf numFmtId="200" fontId="1" fillId="4" borderId="21" xfId="0" applyNumberFormat="1" applyFont="1" applyFill="1" applyBorder="1" applyAlignment="1">
      <x:alignment horizontal="center" vertical="center" wrapText="1"/>
    </x:xf>
    <x:xf numFmtId="201" fontId="1" fillId="4" borderId="21" xfId="0" applyNumberFormat="1" applyFont="1" applyFill="1" applyBorder="1" applyAlignment="1">
      <x:alignment horizontal="center" vertical="center" wrapText="1"/>
    </x:xf>
    <x:xf numFmtId="202" fontId="4" fillId="5" borderId="21" xfId="0" applyNumberFormat="1" applyFont="1" applyFill="1" applyBorder="1" applyAlignment="1">
      <x:alignment horizontal="center" vertical="center" wrapText="1"/>
    </x:xf>
    <x:xf numFmtId="200" fontId="4" fillId="5" borderId="21" xfId="0" applyNumberFormat="1" applyFont="1" applyFill="1" applyBorder="1" applyAlignment="1">
      <x:alignment horizontal="center" vertical="center" wrapText="1"/>
    </x:xf>
    <x:xf numFmtId="201" fontId="4" fillId="5" borderId="21" xfId="0" applyNumberFormat="1" applyFont="1" applyFill="1" applyBorder="1" applyAlignment="1">
      <x:alignment horizontal="center" vertical="center" wrapText="1"/>
    </x:xf>
    <x:xf numFmtId="0" fontId="1" fillId="0" borderId="20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4" borderId="21" xfId="0" applyNumberFormat="1" applyFont="1" applyFill="1" applyBorder="1" applyAlignment="1">
      <x:alignment horizontal="center" vertic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4" fillId="5" borderId="21" xfId="0" applyNumberFormat="1" applyFont="1" applyFill="1" applyBorder="1" applyAlignment="1">
      <x:alignment horizontal="left" vertical="center" wrapText="1"/>
    </x:xf>
    <x:xf numFmtId="0" fontId="1" fillId="2" borderId="20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3" fillId="6" borderId="20" xfId="0" applyNumberFormat="1" applyFont="1" applyFill="1" applyBorder="1" applyAlignment="1">
      <x:alignment horizontal="center" vertical="center" wrapText="1"/>
    </x:xf>
    <x:xf numFmtId="0" fontId="1" fillId="6" borderId="20" xfId="0" applyNumberFormat="1" applyFont="1" applyFill="1" applyBorder="1" applyAlignment="1">
      <x:alignment vertical="center" wrapText="1"/>
    </x:xf>
    <x:xf numFmtId="202" fontId="1" fillId="6" borderId="20" xfId="0" applyNumberFormat="1" applyFont="1" applyFill="1" applyBorder="1" applyAlignment="1">
      <x:alignment horizontal="center" vertical="center" wrapText="1"/>
    </x:xf>
    <x:xf numFmtId="200" fontId="1" fillId="6" borderId="20" xfId="0" applyNumberFormat="1" applyFont="1" applyFill="1" applyBorder="1" applyAlignment="1">
      <x:alignment horizontal="center" vertical="center" wrapText="1"/>
    </x:xf>
    <x:xf numFmtId="201" fontId="1" fillId="6" borderId="20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202" fontId="4" fillId="6" borderId="20" xfId="0" applyNumberFormat="1" applyFont="1" applyFill="1" applyBorder="1" applyAlignment="1">
      <x:alignment horizontal="center" vertical="center" wrapText="1"/>
    </x:xf>
    <x:xf numFmtId="200" fontId="4" fillId="6" borderId="20" xfId="0" applyNumberFormat="1" applyFont="1" applyFill="1" applyBorder="1" applyAlignment="1">
      <x:alignment horizontal="center" vertical="center" wrapText="1"/>
    </x:xf>
    <x:xf numFmtId="201" fontId="4" fillId="6" borderId="2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0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202" fontId="7" fillId="6" borderId="20" xfId="0" applyNumberFormat="1" applyFont="1" applyFill="1" applyBorder="1" applyAlignment="1">
      <x:alignment horizontal="center" vertical="center" wrapText="1"/>
    </x:xf>
    <x:xf numFmtId="200" fontId="7" fillId="6" borderId="20" xfId="0" applyNumberFormat="1" applyFont="1" applyFill="1" applyBorder="1" applyAlignment="1">
      <x:alignment horizontal="center" vertical="center" wrapText="1"/>
    </x:xf>
    <x:xf numFmtId="201" fontId="7" fillId="6" borderId="20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202" fontId="6" fillId="6" borderId="20" xfId="0" applyNumberFormat="1" applyFont="1" applyFill="1" applyBorder="1" applyAlignment="1">
      <x:alignment horizontal="center" vertical="center" wrapText="1"/>
    </x:xf>
    <x:xf numFmtId="200" fontId="6" fillId="6" borderId="20" xfId="0" applyNumberFormat="1" applyFont="1" applyFill="1" applyBorder="1" applyAlignment="1">
      <x:alignment horizontal="center" vertical="center" wrapText="1"/>
    </x:xf>
    <x:xf numFmtId="201" fontId="6" fillId="6" borderId="2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9" fillId="8" borderId="20" xfId="0" applyNumberFormat="1" applyFont="1" applyFill="1" applyBorder="1" applyAlignment="1">
      <x:alignment horizontal="center" vertical="center" wrapText="1"/>
    </x:xf>
    <x:xf numFmtId="0" fontId="7" fillId="9" borderId="20" xfId="0" applyNumberFormat="1" applyFont="1" applyFill="1" applyBorder="1" applyAlignment="1">
      <x:alignment vertical="center" wrapText="1"/>
    </x:xf>
    <x:xf numFmtId="202" fontId="7" fillId="9" borderId="20" xfId="0" applyNumberFormat="1" applyFont="1" applyFill="1" applyBorder="1" applyAlignment="1">
      <x:alignment horizontal="center" vertical="center" wrapText="1"/>
    </x:xf>
    <x:xf numFmtId="200" fontId="7" fillId="9" borderId="20" xfId="0" applyNumberFormat="1" applyFont="1" applyFill="1" applyBorder="1" applyAlignment="1">
      <x:alignment horizontal="center" vertical="center" wrapText="1"/>
    </x:xf>
    <x:xf numFmtId="201" fontId="7" fillId="9" borderId="20" xfId="0" applyNumberFormat="1" applyFont="1" applyFill="1" applyBorder="1" applyAlignment="1">
      <x:alignment horizontal="center" vertical="center" wrapText="1"/>
    </x:xf>
    <x:xf numFmtId="0" fontId="7" fillId="9" borderId="20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vertical="center" wrapText="1"/>
    </x:xf>
    <x:xf numFmtId="202" fontId="6" fillId="10" borderId="20" xfId="0" applyNumberFormat="1" applyFont="1" applyFill="1" applyBorder="1" applyAlignment="1">
      <x:alignment horizontal="center" vertical="center" wrapText="1"/>
    </x:xf>
    <x:xf numFmtId="200" fontId="6" fillId="10" borderId="20" xfId="0" applyNumberFormat="1" applyFont="1" applyFill="1" applyBorder="1" applyAlignment="1">
      <x:alignment horizontal="center" vertical="center" wrapText="1"/>
    </x:xf>
    <x:xf numFmtId="201" fontId="6" fillId="10" borderId="20" xfId="0" applyNumberFormat="1" applyFont="1" applyFill="1" applyBorder="1" applyAlignment="1">
      <x:alignment horizontal="center" vertical="center" wrapText="1"/>
    </x:xf>
    <x:xf numFmtId="0" fontId="10" fillId="10" borderId="20" xfId="0" applyNumberFormat="1" applyFont="1" applyFill="1" applyBorder="1" applyAlignment="1">
      <x:alignment vertical="center" wrapText="1"/>
    </x:xf>
    <x:xf numFmtId="202" fontId="10" fillId="10" borderId="20" xfId="0" applyNumberFormat="1" applyFont="1" applyFill="1" applyBorder="1" applyAlignment="1">
      <x:alignment horizontal="center" vertical="center" wrapText="1"/>
    </x:xf>
    <x:xf numFmtId="200" fontId="10" fillId="10" borderId="20" xfId="0" applyNumberFormat="1" applyFont="1" applyFill="1" applyBorder="1" applyAlignment="1">
      <x:alignment horizontal="center" vertical="center" wrapText="1"/>
    </x:xf>
    <x:xf numFmtId="201" fontId="10" fillId="10" borderId="20" xfId="0" applyNumberFormat="1" applyFont="1" applyFill="1" applyBorder="1" applyAlignment="1">
      <x:alignment horizontal="center" vertical="center" wrapText="1"/>
    </x:xf>
    <x:xf numFmtId="0" fontId="10" fillId="10" borderId="20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11" fillId="10" borderId="20" xfId="0" applyNumberFormat="1" applyFont="1" applyFill="1" applyBorder="1" applyAlignment="1">
      <x:alignment horizontal="center" vertical="center" wrapText="1"/>
    </x:xf>
    <x:xf numFmtId="200" fontId="7" fillId="6" borderId="0" xfId="0" applyNumberFormat="1" applyFont="1" applyFill="1" applyBorder="1" applyAlignment="1">
      <x:alignment vertical="center" wrapText="1"/>
    </x:xf>
    <x:xf numFmtId="200" fontId="9" fillId="8" borderId="20" xfId="0" applyNumberFormat="1" applyFont="1" applyFill="1" applyBorder="1" applyAlignment="1">
      <x:alignment horizontal="center" vertical="center" wrapText="1"/>
    </x:xf>
    <x:xf numFmtId="200" fontId="7" fillId="6" borderId="20" xfId="0" applyNumberFormat="1" applyFont="1" applyFill="1" applyBorder="1" applyAlignment="1">
      <x:alignment horizontal="right" vertical="center" wrapText="1"/>
    </x:xf>
    <x:xf numFmtId="200" fontId="7" fillId="9" borderId="20" xfId="0" applyNumberFormat="1" applyFont="1" applyFill="1" applyBorder="1" applyAlignment="1">
      <x:alignment horizontal="right" vertical="center" wrapText="1"/>
    </x:xf>
    <x:xf numFmtId="200" fontId="10" fillId="10" borderId="20" xfId="0" applyNumberFormat="1" applyFont="1" applyFill="1" applyBorder="1" applyAlignment="1">
      <x:alignment horizontal="right" vertical="center" wrapText="1"/>
    </x:xf>
    <x:xf numFmtId="200" fontId="7" fillId="6" borderId="0" xfId="0" applyNumberFormat="1" applyFont="1" applyFill="1" applyBorder="1" applyAlignment="1">
      <x:alignment horizontal="right" vertical="center" wrapText="1"/>
    </x:xf>
    <x:xf numFmtId="200" fontId="9" fillId="8" borderId="20" xfId="0" applyNumberFormat="1" applyFont="1" applyFill="1" applyBorder="1" applyAlignment="1">
      <x:alignment horizontal="right" vertical="center" wrapText="1"/>
    </x:xf>
    <x:xf numFmtId="0" fontId="7" fillId="6" borderId="20" xfId="0" applyNumberFormat="1" applyFont="1" applyFill="1" applyBorder="1" applyAlignment="1">
      <x:alignment horizontal="left" vertical="center" wrapText="1"/>
    </x:xf>
    <x:xf numFmtId="0" fontId="7" fillId="9" borderId="20" xfId="0" applyNumberFormat="1" applyFont="1" applyFill="1" applyBorder="1" applyAlignment="1">
      <x:alignment horizontal="left" vertical="center" wrapText="1"/>
    </x:xf>
    <x:xf numFmtId="0" fontId="10" fillId="10" borderId="2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9" fillId="8" borderId="20" xfId="0" applyNumberFormat="1" applyFont="1" applyFill="1" applyBorder="1" applyAlignment="1">
      <x:alignment horizontal="left" vertical="center" wrapText="1"/>
    </x:xf>
    <x:xf numFmtId="0" fontId="6" fillId="11" borderId="20" xfId="0" applyNumberFormat="1" applyFont="1" applyFill="1" applyBorder="1" applyAlignment="1">
      <x:alignment vertical="center" wrapText="1"/>
    </x:xf>
    <x:xf numFmtId="0" fontId="6" fillId="11" borderId="20" xfId="0" applyNumberFormat="1" applyFont="1" applyFill="1" applyBorder="1" applyAlignment="1">
      <x:alignment horizontal="center" vertical="center" wrapText="1"/>
    </x:xf>
    <x:xf numFmtId="201" fontId="6" fillId="11" borderId="20" xfId="0" applyNumberFormat="1" applyFont="1" applyFill="1" applyBorder="1" applyAlignment="1">
      <x:alignment horizontal="center" vertical="center" wrapText="1"/>
    </x:xf>
    <x:xf numFmtId="200" fontId="6" fillId="11" borderId="20" xfId="0" applyNumberFormat="1" applyFont="1" applyFill="1" applyBorder="1" applyAlignment="1">
      <x:alignment horizontal="center" vertical="center" wrapText="1"/>
    </x:xf>
    <x:xf numFmtId="0" fontId="10" fillId="11" borderId="20" xfId="0" applyNumberFormat="1" applyFont="1" applyFill="1" applyBorder="1" applyAlignment="1">
      <x:alignment vertical="center" wrapText="1"/>
    </x:xf>
    <x:xf numFmtId="0" fontId="10" fillId="11" borderId="20" xfId="0" applyNumberFormat="1" applyFont="1" applyFill="1" applyBorder="1" applyAlignment="1">
      <x:alignment horizontal="center" vertical="center" wrapText="1"/>
    </x:xf>
    <x:xf numFmtId="201" fontId="10" fillId="11" borderId="20" xfId="0" applyNumberFormat="1" applyFont="1" applyFill="1" applyBorder="1" applyAlignment="1">
      <x:alignment horizontal="center" vertical="center" wrapText="1"/>
    </x:xf>
    <x:xf numFmtId="200" fontId="10" fillId="11" borderId="20" xfId="0" applyNumberFormat="1" applyFont="1" applyFill="1" applyBorder="1" applyAlignment="1">
      <x:alignment horizontal="center" vertical="center" wrapText="1"/>
    </x:xf>
    <x:xf numFmtId="0" fontId="10" fillId="11" borderId="20" xfId="0" applyNumberFormat="1" applyFont="1" applyFill="1" applyBorder="1" applyAlignment="1">
      <x:alignment horizontal="left" vertical="center" wrapText="1"/>
    </x:xf>
    <x:xf numFmtId="201" fontId="10" fillId="11" borderId="20" xfId="0" applyNumberFormat="1" applyFont="1" applyFill="1" applyBorder="1" applyAlignment="1">
      <x:alignment horizontal="left" vertical="center" wrapText="1"/>
    </x:xf>
    <x:xf numFmtId="200" fontId="10" fillId="11" borderId="20" xfId="0" applyNumberFormat="1" applyFont="1" applyFill="1" applyBorder="1" applyAlignment="1">
      <x:alignment horizontal="left" vertical="center" wrapText="1"/>
    </x:xf>
    <x:xf numFmtId="202" fontId="10" fillId="11" borderId="20" xfId="0" applyNumberFormat="1" applyFont="1" applyFill="1" applyBorder="1" applyAlignment="1">
      <x:alignment horizontal="left" vertical="center" wrapText="1"/>
    </x:xf>
    <x:xf numFmtId="202" fontId="10" fillId="11" borderId="20" xfId="0" applyNumberFormat="1" applyFont="1" applyFill="1" applyBorder="1" applyAlignment="1">
      <x:alignment horizontal="center" vertical="center" wrapText="1"/>
    </x:xf>
    <x:xf numFmtId="203" fontId="10" fillId="11" borderId="20" xfId="0" applyNumberFormat="1" applyFont="1" applyFill="1" applyBorder="1" applyAlignment="1">
      <x:alignment horizontal="left" vertical="center" wrapText="1"/>
    </x:xf>
    <x:xf numFmtId="203" fontId="7" fillId="9" borderId="20" xfId="0" applyNumberFormat="1" applyFont="1" applyFill="1" applyBorder="1" applyAlignment="1">
      <x:alignment horizontal="center" vertical="center" wrapText="1"/>
    </x:xf>
    <x:xf numFmtId="203" fontId="7" fillId="6" borderId="20" xfId="0" applyNumberFormat="1" applyFont="1" applyFill="1" applyBorder="1" applyAlignment="1">
      <x:alignment horizontal="center" vertical="center" wrapText="1"/>
    </x:xf>
    <x:xf numFmtId="203" fontId="10" fillId="10" borderId="20" xfId="0" applyNumberFormat="1" applyFont="1" applyFill="1" applyBorder="1" applyAlignment="1">
      <x:alignment horizontal="center" vertical="center" wrapText="1"/>
    </x:xf>
    <x:xf numFmtId="203" fontId="10" fillId="11" borderId="20" xfId="0" applyNumberFormat="1" applyFont="1" applyFill="1" applyBorder="1" applyAlignment="1">
      <x:alignment horizontal="right" vertical="center" wrapText="1"/>
    </x:xf>
    <x:xf numFmtId="203" fontId="7" fillId="9" borderId="20" xfId="0" applyNumberFormat="1" applyFont="1" applyFill="1" applyBorder="1" applyAlignment="1">
      <x:alignment horizontal="right" vertical="center" wrapText="1"/>
    </x:xf>
    <x:xf numFmtId="203" fontId="7" fillId="6" borderId="20" xfId="0" applyNumberFormat="1" applyFont="1" applyFill="1" applyBorder="1" applyAlignment="1">
      <x:alignment horizontal="right" vertical="center" wrapText="1"/>
    </x:xf>
    <x:xf numFmtId="203" fontId="10" fillId="10" borderId="20" xfId="0" applyNumberFormat="1" applyFont="1" applyFill="1" applyBorder="1" applyAlignment="1">
      <x:alignment horizontal="right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left" vertical="center" wrapText="1"/>
    </x:xf>
    <x:xf numFmtId="0" fontId="12" fillId="6" borderId="8" xfId="0" applyNumberFormat="1" applyFont="1" applyFill="1" applyBorder="1" applyAlignment="1">
      <x:alignment horizontal="center" vertical="center" wrapText="1"/>
    </x:xf>
    <x:xf numFmtId="0" fontId="12" fillId="6" borderId="9" xfId="0" applyNumberFormat="1" applyFont="1" applyFill="1" applyBorder="1" applyAlignment="1">
      <x:alignment horizontal="center" vertical="center" wrapText="1"/>
    </x:xf>
    <x:xf numFmtId="0" fontId="12" fillId="6" borderId="10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left" vertical="center" wrapText="1"/>
    </x:xf>
    <x:xf numFmtId="0" fontId="6" fillId="11" borderId="20" xfId="0" applyNumberFormat="1" applyFont="1" applyFill="1" applyBorder="1" applyAlignment="1">
      <x:alignment horizontal="left" vertical="center" wrapText="1"/>
    </x:xf>
    <x:xf numFmtId="0" fontId="10" fillId="9" borderId="2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4ea97f54a4ea1" /><Relationship Type="http://schemas.openxmlformats.org/officeDocument/2006/relationships/theme" Target="/xl/theme/theme1.xml" Id="R54da944bac5a48c7" /><Relationship Type="http://schemas.openxmlformats.org/officeDocument/2006/relationships/sharedStrings" Target="/xl/sharedStrings.xml" Id="Ra2d0a66c32d44d2c" /><Relationship Type="http://schemas.openxmlformats.org/officeDocument/2006/relationships/worksheet" Target="/xl/worksheets/sheet1.xml" Id="R26842fb3262a4c60" /><Relationship Type="http://schemas.openxmlformats.org/officeDocument/2006/relationships/worksheet" Target="/xl/worksheets/sheet2.xml" Id="R0ffc15d2ada54ae1" /><Relationship Type="http://schemas.openxmlformats.org/officeDocument/2006/relationships/worksheet" Target="/xl/worksheets/sheet3.xml" Id="R61bbabd390c243ea" /></Relationships>
</file>

<file path=xl/theme/theme1.xml><?xml version="1.0" encoding="utf-8"?>
<a:theme xmlns:a="http://schemas.openxmlformats.org/drawingml/2006/main" name="Parametro Excel">
  <a:themeElements>
    <a:clrScheme name="Parametro Excel">
      <a:dk1>
        <a:srgbClr val="000000"/>
      </a:dk1>
      <a:lt1>
        <a:srgbClr val="FFFFFF"/>
      </a:lt1>
      <a:dk2>
        <a:srgbClr val="333333"/>
      </a:dk2>
      <a:lt2>
        <a:srgbClr val="F2F2F2"/>
      </a:lt2>
      <a:accent1>
        <a:srgbClr val="7030A0"/>
      </a:accent1>
      <a:accent2>
        <a:srgbClr val="00A99D"/>
      </a:accent2>
      <a:accent3>
        <a:srgbClr val="931F2B"/>
      </a:accent3>
      <a:accent4>
        <a:srgbClr val="D88A00"/>
      </a:accent4>
      <a:accent5>
        <a:srgbClr val="1F6E43"/>
      </a:accent5>
      <a:accent6>
        <a:srgbClr val="4A5568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rametro Exce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7" hidden="0" customWidth="1"/>
    <x:col min="5" max="5" width="15" hidden="0" customWidth="1"/>
    <x:col min="6" max="6" width="30" hidden="0" customWidth="1"/>
  </x:cols>
  <x:sheetData>
    <x:row r="1" ht="30" customHeight="1">
      <x:c r="A1" s="189" t="str">
        <x:v>ODOO — ANÁLISE ROI / GAP  ·  Resumo Executivo</x:v>
      </x:c>
      <x:c r="B1" s="190"/>
      <x:c r="C1" s="190"/>
      <x:c r="D1" s="190"/>
      <x:c r="E1" s="190"/>
      <x:c r="F1" s="191"/>
    </x:row>
    <x:row r="2" ht="22" customHeight="1">
      <x:c r="A2" s="172" t="str">
        <x:v>Cliente: _________________________     Projeto: _________________________     Data: __________</x:v>
      </x:c>
      <x:c r="B2" s="173"/>
      <x:c r="C2" s="173"/>
      <x:c r="D2" s="173"/>
      <x:c r="E2" s="173"/>
      <x:c r="F2" s="174"/>
    </x:row>
    <x:row r="3" ht="30" customHeight="1">
      <x:c r="A3" s="193" t="str">
        <x:v>INVESTIMENTOS</x:v>
      </x:c>
      <x:c r="B3" s="193" t="str">
        <x:v>Dias
Estimados</x:v>
      </x:c>
      <x:c r="C3" s="193" t="str">
        <x:v>Dias Reais</x:v>
      </x:c>
      <x:c r="D3" s="193" t="str">
        <x:v>Custo (€)</x:v>
      </x:c>
      <x:c r="E3" s="193" t="str">
        <x:v>% Total</x:v>
      </x:c>
      <x:c r="F3" s="193" t="str">
        <x:v>Notas</x:v>
      </x:c>
    </x:row>
    <x:row r="4" ht="22" customHeight="1">
      <x:c r="A4" s="176" t="str">
        <x:v>Gestão de Projeto</x:v>
      </x:c>
      <x:c r="B4" s="177"/>
      <x:c r="C4" s="177"/>
      <x:c r="D4" s="212"/>
      <x:c r="E4" s="179" t="str">
        <x:f>IF($D$11=0,"",D4/$D$11)</x:f>
      </x:c>
      <x:c r="F4" s="217"/>
    </x:row>
    <x:row r="5" ht="22" customHeight="1">
      <x:c r="A5" s="194" t="str">
        <x:v>Análise ROI / Kick-Off</x:v>
      </x:c>
      <x:c r="B5" s="195"/>
      <x:c r="C5" s="195"/>
      <x:c r="D5" s="213"/>
      <x:c r="E5" s="197" t="str">
        <x:f>IF($D$11=0,"",D5/$D$11)</x:f>
      </x:c>
      <x:c r="F5" s="218"/>
    </x:row>
    <x:row r="6" ht="22" customHeight="1">
      <x:c r="A6" s="176" t="str">
        <x:v>Configuração Standard</x:v>
      </x:c>
      <x:c r="B6" s="177"/>
      <x:c r="C6" s="177"/>
      <x:c r="D6" s="212"/>
      <x:c r="E6" s="179" t="str">
        <x:f>IF($D$11=0,"",D6/$D$11)</x:f>
      </x:c>
      <x:c r="F6" s="217"/>
    </x:row>
    <x:row r="7" ht="22" customHeight="1">
      <x:c r="A7" s="194" t="str">
        <x:v>Desenvolvimento Custom</x:v>
      </x:c>
      <x:c r="B7" s="195"/>
      <x:c r="C7" s="195"/>
      <x:c r="D7" s="213"/>
      <x:c r="E7" s="197" t="str">
        <x:f>IF($D$11=0,"",D7/$D$11)</x:f>
      </x:c>
      <x:c r="F7" s="218" t="str">
        <x:v>Minimizar ao máximo</x:v>
      </x:c>
    </x:row>
    <x:row r="8" ht="22" customHeight="1">
      <x:c r="A8" s="176" t="str">
        <x:v>Migração de Dados</x:v>
      </x:c>
      <x:c r="B8" s="177"/>
      <x:c r="C8" s="177"/>
      <x:c r="D8" s="212"/>
      <x:c r="E8" s="179" t="str">
        <x:f>IF($D$11=0,"",D8/$D$11)</x:f>
      </x:c>
      <x:c r="F8" s="217" t="str">
        <x:v>Apenas dados mestre</x:v>
      </x:c>
    </x:row>
    <x:row r="9" ht="22" customHeight="1">
      <x:c r="A9" s="194" t="str">
        <x:v>Formação (SPoC + Key Users)</x:v>
      </x:c>
      <x:c r="B9" s="195"/>
      <x:c r="C9" s="195"/>
      <x:c r="D9" s="213"/>
      <x:c r="E9" s="197" t="str">
        <x:f>IF($D$11=0,"",D9/$D$11)</x:f>
      </x:c>
      <x:c r="F9" s="218"/>
    </x:row>
    <x:row r="10" ht="22" customHeight="1">
      <x:c r="A10" s="176" t="str">
        <x:v>Go-Live &amp; Suporte Inicial</x:v>
      </x:c>
      <x:c r="B10" s="177"/>
      <x:c r="C10" s="177"/>
      <x:c r="D10" s="212"/>
      <x:c r="E10" s="179" t="str">
        <x:f>IF($D$11=0,"",D10/$D$11)</x:f>
      </x:c>
      <x:c r="F10" s="217"/>
    </x:row>
    <x:row r="11" ht="22" customHeight="1">
      <x:c r="A11" s="209" t="str">
        <x:v>TOTAL IMPLEMENTAÇÃO</x:v>
      </x:c>
      <x:c r="B11" s="204" t="n">
        <x:f>SUM(B4:B10)</x:f>
        <x:v>0</x:v>
      </x:c>
      <x:c r="C11" s="204" t="n">
        <x:f>SUM(C4:C10)</x:f>
        <x:v>0</x:v>
      </x:c>
      <x:c r="D11" s="214" t="n">
        <x:f>SUM(D4:D10)</x:f>
        <x:v>0</x:v>
      </x:c>
      <x:c r="E11" s="206" t="str">
        <x:f>IF($D$11=0,"",1)</x:f>
      </x:c>
      <x:c r="F11" s="219"/>
    </x:row>
    <x:row r="12" ht="22" customHeight="1">
      <x:c r="A12" s="184"/>
      <x:c r="B12" s="184"/>
      <x:c r="C12" s="184"/>
      <x:c r="D12" s="215"/>
      <x:c r="E12" s="184"/>
      <x:c r="F12" s="220"/>
    </x:row>
    <x:row r="13" ht="30" customHeight="1">
      <x:c r="A13" s="193" t="str">
        <x:v>RETORNOS ESPERADOS</x:v>
      </x:c>
      <x:c r="B13" s="193" t="str">
        <x:v>FTE Afetados</x:v>
      </x:c>
      <x:c r="C13" s="193" t="str">
        <x:v>Eficiência Ganha</x:v>
      </x:c>
      <x:c r="D13" s="216" t="str">
        <x:v>Poupança Anual (€)</x:v>
      </x:c>
      <x:c r="E13" s="193" t="str">
        <x:v>Payback (meses)</x:v>
      </x:c>
      <x:c r="F13" s="221" t="str">
        <x:v>Notas</x:v>
      </x:c>
    </x:row>
    <x:row r="14" ht="22" customHeight="1">
      <x:c r="A14" s="176" t="str">
        <x:v>Eliminação de processos manuais</x:v>
      </x:c>
      <x:c r="B14" s="185"/>
      <x:c r="C14" s="179"/>
      <x:c r="D14" s="212"/>
      <x:c r="E14" s="177" t="str">
        <x:f>IF(D14=0,"",$D$11/D14*12)</x:f>
      </x:c>
      <x:c r="F14" s="217"/>
    </x:row>
    <x:row r="15" ht="22" customHeight="1">
      <x:c r="A15" s="194" t="str">
        <x:v>Redução de erros e retrabalho</x:v>
      </x:c>
      <x:c r="B15" s="198"/>
      <x:c r="C15" s="197"/>
      <x:c r="D15" s="213"/>
      <x:c r="E15" s="195" t="str">
        <x:f>IF(D15=0,"",$D$11/D15*12)</x:f>
      </x:c>
      <x:c r="F15" s="218"/>
    </x:row>
    <x:row r="16" ht="22" customHeight="1">
      <x:c r="A16" s="176" t="str">
        <x:v>Melhoria de visibilidade / reporting</x:v>
      </x:c>
      <x:c r="B16" s="185"/>
      <x:c r="C16" s="179"/>
      <x:c r="D16" s="212"/>
      <x:c r="E16" s="177" t="str">
        <x:f>IF(D16=0,"",$D$11/D16*12)</x:f>
      </x:c>
      <x:c r="F16" s="217"/>
    </x:row>
    <x:row r="17" ht="22" customHeight="1">
      <x:c r="A17" s="194" t="str">
        <x:v>Redução de licenças de software legacy</x:v>
      </x:c>
      <x:c r="B17" s="198"/>
      <x:c r="C17" s="197"/>
      <x:c r="D17" s="213"/>
      <x:c r="E17" s="195" t="str">
        <x:f>IF(D17=0,"",$D$11/D17*12)</x:f>
      </x:c>
      <x:c r="F17" s="218"/>
    </x:row>
    <x:row r="18" ht="22" customHeight="1">
      <x:c r="A18" s="176" t="str">
        <x:v>Ganhos em eficiência logística</x:v>
      </x:c>
      <x:c r="B18" s="185"/>
      <x:c r="C18" s="179"/>
      <x:c r="D18" s="212"/>
      <x:c r="E18" s="177" t="str">
        <x:f>IF(D18=0,"",$D$11/D18*12)</x:f>
      </x:c>
      <x:c r="F18" s="217"/>
    </x:row>
    <x:row r="19" ht="22" customHeight="1">
      <x:c r="A19" s="194" t="str">
        <x:v>Outros retornos:</x:v>
      </x:c>
      <x:c r="B19" s="198"/>
      <x:c r="C19" s="197"/>
      <x:c r="D19" s="213"/>
      <x:c r="E19" s="195" t="str">
        <x:f>IF(D19=0,"",$D$11/D19*12)</x:f>
      </x:c>
      <x:c r="F19" s="218"/>
    </x:row>
    <x:row r="20" ht="22" customHeight="1">
      <x:c r="A20" s="209" t="str">
        <x:v>TOTAL RETORNOS</x:v>
      </x:c>
      <x:c r="B20" s="207" t="n">
        <x:f>SUM(B14:B19)</x:f>
        <x:v>0</x:v>
      </x:c>
      <x:c r="C20" s="206"/>
      <x:c r="D20" s="214" t="n">
        <x:f>SUM(D14:D19)</x:f>
        <x:v>0</x:v>
      </x:c>
      <x:c r="E20" s="204" t="str">
        <x:f>IF(D20=0,"",$D$11/D20*12)</x:f>
      </x:c>
      <x:c r="F20" s="219"/>
    </x:row>
    <x:row r="21" ht="22" customHeight="1">
      <x:c r="A21" s="184"/>
      <x:c r="B21" s="184"/>
      <x:c r="C21" s="184"/>
      <x:c r="D21" s="215"/>
      <x:c r="E21" s="184"/>
      <x:c r="F21" s="184"/>
    </x:row>
    <x:row r="22" ht="30" customHeight="1">
      <x:c r="A22" s="193" t="str">
        <x:v>SUMÁRIO ROI</x:v>
      </x:c>
      <x:c r="B22" s="193" t="str">
        <x:v>Y1</x:v>
      </x:c>
      <x:c r="C22" s="193" t="str">
        <x:v>Y2</x:v>
      </x:c>
      <x:c r="D22" s="216" t="str">
        <x:v>Y3</x:v>
      </x:c>
      <x:c r="E22" s="193" t="str">
        <x:v>Y4</x:v>
      </x:c>
      <x:c r="F22" s="193" t="str">
        <x:v>Y5</x:v>
      </x:c>
    </x:row>
    <x:row r="23" ht="22" customHeight="1">
      <x:c r="A23" s="176" t="str">
        <x:v>Investimento Total</x:v>
      </x:c>
      <x:c r="B23" s="178" t="n">
        <x:f>-$D$11</x:f>
        <x:v>0</x:v>
      </x:c>
      <x:c r="C23" s="178" t="n">
        <x:v>0</x:v>
      </x:c>
      <x:c r="D23" s="178" t="n">
        <x:v>0</x:v>
      </x:c>
      <x:c r="E23" s="178" t="n">
        <x:v>0</x:v>
      </x:c>
      <x:c r="F23" s="178" t="n">
        <x:v>0</x:v>
      </x:c>
    </x:row>
    <x:row r="24" ht="22" customHeight="1">
      <x:c r="A24" s="194" t="str">
        <x:v>Retorno Anual</x:v>
      </x:c>
      <x:c r="B24" s="196" t="n">
        <x:f>$D$20</x:f>
        <x:v>0</x:v>
      </x:c>
      <x:c r="C24" s="196" t="n">
        <x:f>$D$20</x:f>
        <x:v>0</x:v>
      </x:c>
      <x:c r="D24" s="196" t="n">
        <x:f>$D$20</x:f>
        <x:v>0</x:v>
      </x:c>
      <x:c r="E24" s="196" t="n">
        <x:f>$D$20</x:f>
        <x:v>0</x:v>
      </x:c>
      <x:c r="F24" s="196" t="n">
        <x:f>$D$20</x:f>
        <x:v>0</x:v>
      </x:c>
    </x:row>
    <x:row r="25" ht="22" customHeight="1">
      <x:c r="A25" s="176" t="str">
        <x:v>ROI Acumulado (€)</x:v>
      </x:c>
      <x:c r="B25" s="178" t="n">
        <x:f>B23+B24</x:f>
        <x:v>0</x:v>
      </x:c>
      <x:c r="C25" s="178" t="n">
        <x:f>B25+C23+C24</x:f>
        <x:v>0</x:v>
      </x:c>
      <x:c r="D25" s="178" t="n">
        <x:f>C25+D23+D24</x:f>
        <x:v>0</x:v>
      </x:c>
      <x:c r="E25" s="178" t="n">
        <x:f>D25+E23+E24</x:f>
        <x:v>0</x:v>
      </x:c>
      <x:c r="F25" s="178" t="n">
        <x:f>E25+F23+F24</x:f>
        <x:v>0</x:v>
      </x:c>
    </x:row>
    <x:row r="26" ht="22" customHeight="1">
      <x:c r="A26" s="194" t="str">
        <x:v>ROI (%)</x:v>
      </x:c>
      <x:c r="B26" s="197" t="str">
        <x:f>IF($D$11=0,"",B25/$D$11)</x:f>
      </x:c>
      <x:c r="C26" s="197" t="str">
        <x:f>IF($D$11=0,"",C25/$D$11)</x:f>
      </x:c>
      <x:c r="D26" s="196" t="str">
        <x:f>IF($D$11=0,"",D25/$D$11)</x:f>
      </x:c>
      <x:c r="E26" s="197" t="str">
        <x:f>IF($D$11=0,"",E25/$D$11)</x:f>
      </x:c>
      <x:c r="F26" s="197" t="str">
        <x:f>IF($D$11=0,"",F25/$D$11)</x:f>
      </x:c>
    </x:row>
    <x:row r="27">
      <x:c r="A27" s="6"/>
      <x:c r="B27" s="6"/>
      <x:c r="C27" s="6"/>
      <x:c r="D27" s="6"/>
      <x:c r="E27" s="6"/>
      <x:c r="F27" s="6"/>
    </x:row>
    <x:row r="28">
      <x:c r="A28" s="6"/>
      <x:c r="B28" s="6"/>
      <x:c r="C28" s="6"/>
      <x:c r="D28" s="6"/>
      <x:c r="E28" s="6"/>
      <x:c r="F28" s="6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189" t="str">
        <x:v>ANÁLISE DE RETORNOS POR DEPARTAMENTO</x:v>
      </x:c>
      <x:c r="B1" s="190"/>
      <x:c r="C1" s="190"/>
      <x:c r="D1" s="190"/>
      <x:c r="E1" s="190"/>
      <x:c r="F1" s="190"/>
      <x:c r="G1" s="191"/>
    </x:row>
    <x:row r="2" ht="22" customHeight="1">
      <x:c r="A2" s="172" t="str">
        <x:v>Cliente: _________________________     Projeto: _________________________     Data: __________</x:v>
      </x:c>
      <x:c r="B2" s="173"/>
      <x:c r="C2" s="173"/>
      <x:c r="D2" s="173"/>
      <x:c r="E2" s="173"/>
      <x:c r="F2" s="173"/>
      <x:c r="G2" s="174"/>
    </x:row>
    <x:row r="3" ht="30" customHeight="1">
      <x:c r="A3" s="193" t="str">
        <x:v>Departamento / Processo</x:v>
      </x:c>
      <x:c r="B3" s="193" t="str">
        <x:v>Pain Point / Oportunidade</x:v>
      </x:c>
      <x:c r="C3" s="193" t="str">
        <x:v>FTE</x:v>
      </x:c>
      <x:c r="D3" s="193" t="str">
        <x:v>% Tempo</x:v>
      </x:c>
      <x:c r="E3" s="193" t="str">
        <x:v>Custo Atual (€/ano)</x:v>
      </x:c>
      <x:c r="F3" s="193" t="str">
        <x:v>Poupança (€/ano)</x:v>
      </x:c>
      <x:c r="G3" s="193" t="str">
        <x:v>Notas</x:v>
      </x:c>
    </x:row>
    <x:row r="4" ht="22" customHeight="1">
      <x:c r="A4" s="230" t="str">
        <x:v>VENDAS / CRM</x:v>
      </x:c>
      <x:c r="B4" s="230"/>
      <x:c r="C4" s="234"/>
      <x:c r="D4" s="228" t="str">
        <x:v>20%</x:v>
      </x:c>
      <x:c r="E4" s="239"/>
      <x:c r="F4" s="239" t="str">
        <x:f>IF(E4=0,"",E4*D4)</x:f>
      </x:c>
      <x:c r="G4" s="230"/>
    </x:row>
    <x:row r="5" ht="22" customHeight="1">
      <x:c r="A5" s="194" t="str">
        <x:v>  Criação de propostas manuais</x:v>
      </x:c>
      <x:c r="B5" s="194"/>
      <x:c r="C5" s="195"/>
      <x:c r="D5" s="197"/>
      <x:c r="E5" s="240"/>
      <x:c r="F5" s="240" t="str">
        <x:f>IF(E5=0,"",E5*D5)</x:f>
      </x:c>
      <x:c r="G5" s="218"/>
    </x:row>
    <x:row r="6" ht="22" customHeight="1">
      <x:c r="A6" s="176" t="str">
        <x:v>  Follow-up de oportunidades</x:v>
      </x:c>
      <x:c r="B6" s="176"/>
      <x:c r="C6" s="177"/>
      <x:c r="D6" s="179"/>
      <x:c r="E6" s="241"/>
      <x:c r="F6" s="241" t="str">
        <x:f>IF(E6=0,"",E6*D6)</x:f>
      </x:c>
      <x:c r="G6" s="217"/>
    </x:row>
    <x:row r="7" ht="22" customHeight="1">
      <x:c r="A7" s="230" t="str">
        <x:v>COMPRAS</x:v>
      </x:c>
      <x:c r="B7" s="230"/>
      <x:c r="C7" s="234"/>
      <x:c r="D7" s="228" t="str">
        <x:v>18%</x:v>
      </x:c>
      <x:c r="E7" s="239"/>
      <x:c r="F7" s="239" t="str">
        <x:f>IF(E7=0,"",E7*D7)</x:f>
      </x:c>
      <x:c r="G7" s="230"/>
    </x:row>
    <x:row r="8" ht="22" customHeight="1">
      <x:c r="A8" s="194" t="str">
        <x:v>  Pedidos de compra em Excel</x:v>
      </x:c>
      <x:c r="B8" s="194"/>
      <x:c r="C8" s="195"/>
      <x:c r="D8" s="197"/>
      <x:c r="E8" s="240"/>
      <x:c r="F8" s="240" t="str">
        <x:f>IF(E8=0,"",E8*D8)</x:f>
      </x:c>
      <x:c r="G8" s="218"/>
    </x:row>
    <x:row r="9" ht="22" customHeight="1">
      <x:c r="A9" s="176" t="str">
        <x:v>  Aprovações por email</x:v>
      </x:c>
      <x:c r="B9" s="176"/>
      <x:c r="C9" s="177"/>
      <x:c r="D9" s="179"/>
      <x:c r="E9" s="241"/>
      <x:c r="F9" s="241" t="str">
        <x:f>IF(E9=0,"",E9*D9)</x:f>
      </x:c>
      <x:c r="G9" s="217"/>
    </x:row>
    <x:row r="10" ht="22" customHeight="1">
      <x:c r="A10" s="230" t="str">
        <x:v>INVENTÁRIO / ARMAZÉM</x:v>
      </x:c>
      <x:c r="B10" s="230"/>
      <x:c r="C10" s="234"/>
      <x:c r="D10" s="228" t="str">
        <x:v>24%</x:v>
      </x:c>
      <x:c r="E10" s="239"/>
      <x:c r="F10" s="239" t="str">
        <x:f>IF(E10=0,"",E10*D10)</x:f>
      </x:c>
      <x:c r="G10" s="230"/>
    </x:row>
    <x:row r="11" ht="22" customHeight="1">
      <x:c r="A11" s="194" t="str">
        <x:v>  Contagens e ajustes manuais</x:v>
      </x:c>
      <x:c r="B11" s="194"/>
      <x:c r="C11" s="195"/>
      <x:c r="D11" s="197"/>
      <x:c r="E11" s="240"/>
      <x:c r="F11" s="240" t="str">
        <x:f>IF(E11=0,"",E11*D11)</x:f>
      </x:c>
      <x:c r="G11" s="218"/>
    </x:row>
    <x:row r="12" ht="22" customHeight="1">
      <x:c r="A12" s="176" t="str">
        <x:v>  Rastreabilidade de lotes/série</x:v>
      </x:c>
      <x:c r="B12" s="176"/>
      <x:c r="C12" s="177"/>
      <x:c r="D12" s="179"/>
      <x:c r="E12" s="241"/>
      <x:c r="F12" s="241" t="str">
        <x:f>IF(E12=0,"",E12*D12)</x:f>
      </x:c>
      <x:c r="G12" s="217"/>
    </x:row>
    <x:row r="13">
      <x:c r="A13" s="230" t="str">
        <x:v>FINANCEIRO / CONTABILIDADE</x:v>
      </x:c>
      <x:c r="B13" s="230"/>
      <x:c r="C13" s="234"/>
      <x:c r="D13" s="228" t="str">
        <x:v>32%</x:v>
      </x:c>
      <x:c r="E13" s="239"/>
      <x:c r="F13" s="239" t="str">
        <x:f>IF(E13=0,"",E13*D13)</x:f>
      </x:c>
      <x:c r="G13" s="230"/>
    </x:row>
    <x:row r="14" ht="22" customHeight="1">
      <x:c r="A14" s="194" t="str">
        <x:v>  Reconciliação bancária manual</x:v>
      </x:c>
      <x:c r="B14" s="194"/>
      <x:c r="C14" s="195"/>
      <x:c r="D14" s="197"/>
      <x:c r="E14" s="240"/>
      <x:c r="F14" s="240" t="str">
        <x:f>IF(E14=0,"",E14*D14)</x:f>
      </x:c>
      <x:c r="G14" s="218"/>
    </x:row>
    <x:row r="15" ht="22" customHeight="1">
      <x:c r="A15" s="176" t="str">
        <x:v>  Faturação e follow-up</x:v>
      </x:c>
      <x:c r="B15" s="176"/>
      <x:c r="C15" s="177"/>
      <x:c r="D15" s="179"/>
      <x:c r="E15" s="241"/>
      <x:c r="F15" s="241" t="str">
        <x:f>IF(E15=0,"",E15*D15)</x:f>
      </x:c>
      <x:c r="G15" s="217"/>
    </x:row>
    <x:row r="16" ht="22" customHeight="1">
      <x:c r="A16" s="230" t="str">
        <x:v>FABRICO / PRODUÇÃO</x:v>
      </x:c>
      <x:c r="B16" s="230"/>
      <x:c r="C16" s="234"/>
      <x:c r="D16" s="228" t="str">
        <x:v>21%</x:v>
      </x:c>
      <x:c r="E16" s="239"/>
      <x:c r="F16" s="239" t="str">
        <x:f>IF(E16=0,"",E16*D16)</x:f>
      </x:c>
      <x:c r="G16" s="230"/>
    </x:row>
    <x:row r="17" ht="22" customHeight="1">
      <x:c r="A17" s="194" t="str">
        <x:v>  Ordens de produção em papel</x:v>
      </x:c>
      <x:c r="B17" s="194"/>
      <x:c r="C17" s="195"/>
      <x:c r="D17" s="197"/>
      <x:c r="E17" s="240"/>
      <x:c r="F17" s="240" t="str">
        <x:f>IF(E17=0,"",E17*D17)</x:f>
      </x:c>
      <x:c r="G17" s="218"/>
    </x:row>
    <x:row r="18" ht="22" customHeight="1">
      <x:c r="A18" s="176" t="str">
        <x:v>  Rastreabilidade de componentes</x:v>
      </x:c>
      <x:c r="B18" s="176"/>
      <x:c r="C18" s="177"/>
      <x:c r="D18" s="179"/>
      <x:c r="E18" s="241"/>
      <x:c r="F18" s="241" t="str">
        <x:f>IF(E18=0,"",E18*D18)</x:f>
      </x:c>
      <x:c r="G18" s="217"/>
    </x:row>
    <x:row r="19" ht="22" customHeight="1">
      <x:c r="A19" s="230" t="str">
        <x:v>RECURSOS HUMANOS</x:v>
      </x:c>
      <x:c r="B19" s="230"/>
      <x:c r="C19" s="234"/>
      <x:c r="D19" s="228" t="str">
        <x:v>25%</x:v>
      </x:c>
      <x:c r="E19" s="239"/>
      <x:c r="F19" s="239" t="str">
        <x:f>IF(E19=0,"",E19*D19)</x:f>
      </x:c>
      <x:c r="G19" s="230"/>
    </x:row>
    <x:row r="20" ht="22" customHeight="1">
      <x:c r="A20" s="209" t="str">
        <x:v>TOTAL</x:v>
      </x:c>
      <x:c r="B20" s="207"/>
      <x:c r="C20" s="204" t="n">
        <x:f>SUM(C4:C19)</x:f>
        <x:v>0</x:v>
      </x:c>
      <x:c r="D20" s="206"/>
      <x:c r="E20" s="242" t="n">
        <x:f>SUM(E4:E19)</x:f>
        <x:v>0</x:v>
      </x:c>
      <x:c r="F20" s="242" t="n">
        <x:f>SUM(F4:F19)</x:f>
        <x:v>0</x:v>
      </x:c>
      <x:c r="G20" s="219"/>
    </x:row>
    <x:row r="21">
      <x:c r="A21" s="6"/>
      <x:c r="B21" s="6"/>
      <x:c r="C21" s="6"/>
      <x:c r="D21" s="6"/>
      <x:c r="E21" s="6"/>
      <x:c r="F21" s="6"/>
      <x:c r="G21" s="6"/>
    </x:row>
    <x:row r="22">
      <x:c r="A22" s="6"/>
      <x:c r="B22" s="6"/>
      <x:c r="C22" s="6"/>
      <x:c r="D22" s="6"/>
      <x:c r="E22" s="6"/>
      <x:c r="F22" s="6"/>
      <x:c r="G22" s="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20" hidden="0" customWidth="1"/>
  </x:cols>
  <x:sheetData>
    <x:row r="1" ht="30" customHeight="1">
      <x:c r="A1" s="189" t="str">
        <x:v>PLANO DE IMPLEMENTAÇÃO — FASEAMENTO</x:v>
      </x:c>
      <x:c r="B1" s="190"/>
      <x:c r="C1" s="190"/>
      <x:c r="D1" s="190"/>
      <x:c r="E1" s="190"/>
      <x:c r="F1" s="190"/>
      <x:c r="G1" s="190"/>
      <x:c r="H1" s="190"/>
      <x:c r="I1" s="190"/>
      <x:c r="J1" s="190"/>
      <x:c r="K1" s="190"/>
      <x:c r="L1" s="190"/>
      <x:c r="M1" s="191"/>
    </x:row>
    <x:row r="2" ht="22" customHeight="1">
      <x:c r="A2" s="247" t="str">
        <x:v>Semanas (preencher datas reais)</x:v>
      </x:c>
      <x:c r="B2" s="248"/>
      <x:c r="C2" s="248"/>
      <x:c r="D2" s="248"/>
      <x:c r="E2" s="248"/>
      <x:c r="F2" s="248"/>
      <x:c r="G2" s="248"/>
      <x:c r="H2" s="248"/>
      <x:c r="I2" s="248"/>
      <x:c r="J2" s="248"/>
      <x:c r="K2" s="248"/>
      <x:c r="L2" s="248"/>
      <x:c r="M2" s="249"/>
    </x:row>
    <x:row r="3" ht="30" customHeight="1">
      <x:c r="A3" s="193" t="str">
        <x:v>Fase / Entregável</x:v>
      </x:c>
      <x:c r="B3" s="193" t="str">
        <x:v>S1</x:v>
      </x:c>
      <x:c r="C3" s="193" t="str">
        <x:v>S2</x:v>
      </x:c>
      <x:c r="D3" s="193" t="str">
        <x:v>S3</x:v>
      </x:c>
      <x:c r="E3" s="193" t="str">
        <x:v>S4</x:v>
      </x:c>
      <x:c r="F3" s="193" t="str">
        <x:v>S5</x:v>
      </x:c>
      <x:c r="G3" s="193" t="str">
        <x:v>S6</x:v>
      </x:c>
      <x:c r="H3" s="193" t="str">
        <x:v>S7</x:v>
      </x:c>
      <x:c r="I3" s="193" t="str">
        <x:v>S8</x:v>
      </x:c>
      <x:c r="J3" s="193" t="str">
        <x:v>S9</x:v>
      </x:c>
      <x:c r="K3" s="193" t="str">
        <x:v>S10</x:v>
      </x:c>
      <x:c r="L3" s="193" t="str">
        <x:v>S11</x:v>
      </x:c>
      <x:c r="M3" s="193" t="str">
        <x:v>Responsável</x:v>
      </x:c>
    </x:row>
    <x:row r="4" ht="22" customHeight="1">
      <x:c r="A4" s="230" t="str">
        <x:v>ROI ANALYSIS / KICK-OFF</x:v>
      </x:c>
      <x:c r="B4" s="227"/>
      <x:c r="C4" s="227"/>
      <x:c r="D4" s="227"/>
      <x:c r="E4" s="227"/>
      <x:c r="F4" s="227"/>
      <x:c r="G4" s="227"/>
      <x:c r="H4" s="227"/>
      <x:c r="I4" s="227"/>
      <x:c r="J4" s="227"/>
      <x:c r="K4" s="227"/>
      <x:c r="L4" s="227"/>
      <x:c r="M4" s="252"/>
    </x:row>
    <x:row r="5" ht="22" customHeight="1">
      <x:c r="A5" s="194" t="str">
        <x:v>  Workshops com key users</x:v>
      </x:c>
      <x:c r="B5" s="198"/>
      <x:c r="C5" s="198"/>
      <x:c r="D5" s="198"/>
      <x:c r="E5" s="198"/>
      <x:c r="F5" s="198"/>
      <x:c r="G5" s="198"/>
      <x:c r="H5" s="198"/>
      <x:c r="I5" s="198"/>
      <x:c r="J5" s="198"/>
      <x:c r="K5" s="198"/>
      <x:c r="L5" s="198"/>
      <x:c r="M5" s="218"/>
    </x:row>
    <x:row r="6" ht="22" customHeight="1">
      <x:c r="A6" s="176" t="str">
        <x:v>  Análise e peer-review</x:v>
      </x:c>
      <x:c r="B6" s="185"/>
      <x:c r="C6" s="185"/>
      <x:c r="D6" s="185"/>
      <x:c r="E6" s="185"/>
      <x:c r="F6" s="185"/>
      <x:c r="G6" s="185"/>
      <x:c r="H6" s="185"/>
      <x:c r="I6" s="185"/>
      <x:c r="J6" s="185"/>
      <x:c r="K6" s="185"/>
      <x:c r="L6" s="185"/>
      <x:c r="M6" s="218"/>
    </x:row>
    <x:row r="7" ht="22" customHeight="1">
      <x:c r="A7" s="194" t="str">
        <x:v>  Apresentação ROI Closing</x:v>
      </x:c>
      <x:c r="B7" s="198"/>
      <x:c r="C7" s="198"/>
      <x:c r="D7" s="198"/>
      <x:c r="E7" s="198"/>
      <x:c r="F7" s="198"/>
      <x:c r="G7" s="198"/>
      <x:c r="H7" s="198"/>
      <x:c r="I7" s="198"/>
      <x:c r="J7" s="198"/>
      <x:c r="K7" s="198"/>
      <x:c r="L7" s="198"/>
      <x:c r="M7" s="218"/>
    </x:row>
    <x:row r="8" ht="22" customHeight="1">
      <x:c r="A8" s="230" t="str">
        <x:v>IMPLEMENTATION — FASE 1</x:v>
      </x:c>
      <x:c r="B8" s="227"/>
      <x:c r="C8" s="227"/>
      <x:c r="D8" s="227"/>
      <x:c r="E8" s="227"/>
      <x:c r="F8" s="227"/>
      <x:c r="G8" s="227"/>
      <x:c r="H8" s="227"/>
      <x:c r="I8" s="227"/>
      <x:c r="J8" s="227"/>
      <x:c r="K8" s="227"/>
      <x:c r="L8" s="227"/>
      <x:c r="M8" s="252"/>
    </x:row>
    <x:row r="9" ht="22" customHeight="1">
      <x:c r="A9" s="194" t="str">
        <x:v>  Configuração core (Sales/Purchase/Inv.)</x:v>
      </x:c>
      <x:c r="B9" s="198"/>
      <x:c r="C9" s="198"/>
      <x:c r="D9" s="198"/>
      <x:c r="E9" s="198"/>
      <x:c r="F9" s="198"/>
      <x:c r="G9" s="198"/>
      <x:c r="H9" s="198"/>
      <x:c r="I9" s="198"/>
      <x:c r="J9" s="198"/>
      <x:c r="K9" s="198"/>
      <x:c r="L9" s="198"/>
      <x:c r="M9" s="218"/>
    </x:row>
    <x:row r="10" ht="22" customHeight="1">
      <x:c r="A10" s="176" t="str">
        <x:v>  Desenvolvimento must-have</x:v>
      </x:c>
      <x:c r="B10" s="185"/>
      <x:c r="C10" s="185"/>
      <x:c r="D10" s="185"/>
      <x:c r="E10" s="185"/>
      <x:c r="F10" s="185"/>
      <x:c r="G10" s="185"/>
      <x:c r="H10" s="185"/>
      <x:c r="I10" s="185"/>
      <x:c r="J10" s="185"/>
      <x:c r="K10" s="185"/>
      <x:c r="L10" s="185"/>
      <x:c r="M10" s="218"/>
    </x:row>
    <x:row r="11" ht="22" customHeight="1">
      <x:c r="A11" s="194" t="str">
        <x:v>  Migração de dados mestre</x:v>
      </x:c>
      <x:c r="B11" s="198"/>
      <x:c r="C11" s="198"/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218"/>
    </x:row>
    <x:row r="12" ht="22" customHeight="1">
      <x:c r="A12" s="176" t="str">
        <x:v>  Formação SPoC + key users</x:v>
      </x:c>
      <x:c r="B12" s="185"/>
      <x:c r="C12" s="185"/>
      <x:c r="D12" s="185"/>
      <x:c r="E12" s="185"/>
      <x:c r="F12" s="185"/>
      <x:c r="G12" s="185"/>
      <x:c r="H12" s="185"/>
      <x:c r="I12" s="185"/>
      <x:c r="J12" s="185"/>
      <x:c r="K12" s="185"/>
      <x:c r="L12" s="185"/>
      <x:c r="M12" s="218"/>
    </x:row>
    <x:row r="13">
      <x:c r="A13" s="194" t="str">
        <x:v>  Validação business flows</x:v>
      </x:c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218"/>
    </x:row>
    <x:row r="14" ht="22" customHeight="1">
      <x:c r="A14" s="230" t="str">
        <x:v>GO-LIVE</x:v>
      </x:c>
      <x:c r="B14" s="227"/>
      <x:c r="C14" s="227"/>
      <x:c r="D14" s="227"/>
      <x:c r="E14" s="227"/>
      <x:c r="F14" s="227"/>
      <x:c r="G14" s="227"/>
      <x:c r="H14" s="227"/>
      <x:c r="I14" s="227"/>
      <x:c r="J14" s="227"/>
      <x:c r="K14" s="227"/>
      <x:c r="L14" s="227"/>
      <x:c r="M14" s="252"/>
    </x:row>
    <x:row r="15" ht="22" customHeight="1">
      <x:c r="A15" s="194" t="str">
        <x:v>  Testes finais (E2E)</x:v>
      </x:c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218"/>
    </x:row>
    <x:row r="16" ht="22" customHeight="1">
      <x:c r="A16" s="176" t="str">
        <x:v>  Formação end-users</x:v>
      </x:c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5"/>
      <x:c r="M16" s="218"/>
    </x:row>
    <x:row r="17" ht="22" customHeight="1">
      <x:c r="A17" s="194" t="str">
        <x:v>  Entrada em produção</x:v>
      </x:c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218"/>
    </x:row>
    <x:row r="18" ht="22" customHeight="1">
      <x:c r="A18" s="176" t="str">
        <x:v>  Suporte pós go-live (1ª semana)</x:v>
      </x:c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  <x:c r="M18" s="218"/>
    </x:row>
    <x:row r="19" ht="22" customHeight="1">
      <x:c r="A19" s="230" t="str">
        <x:v>FASE 2 (pós go-live)</x:v>
      </x:c>
      <x:c r="B19" s="227"/>
      <x:c r="C19" s="227"/>
      <x:c r="D19" s="227"/>
      <x:c r="E19" s="227"/>
      <x:c r="F19" s="227"/>
      <x:c r="G19" s="227"/>
      <x:c r="H19" s="227"/>
      <x:c r="I19" s="227"/>
      <x:c r="J19" s="227"/>
      <x:c r="K19" s="227"/>
      <x:c r="L19" s="227"/>
      <x:c r="M19" s="252"/>
    </x:row>
    <x:row r="20" ht="22" customHeight="1">
      <x:c r="A20" s="194" t="str">
        <x:v>  Revisão backlog</x:v>
      </x:c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218"/>
    </x:row>
    <x:row r="21" ht="22" customHeight="1">
      <x:c r="A21" s="176" t="str">
        <x:v>  Progress Report</x:v>
      </x:c>
      <x:c r="B21" s="185"/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  <x:c r="M21" s="218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</x:row>
  </x:sheetData>
  <x:mergeCells>
    <x:mergeCell ref="A1:M1"/>
    <x:mergeCell ref="A2:M2"/>
  </x:mergeCells>
  <x:pageMargins left="0.7" right="0.7" top="0.75" bottom="0.75" header="0.3" footer="0.3"/>
</x:worksheet>
</file>