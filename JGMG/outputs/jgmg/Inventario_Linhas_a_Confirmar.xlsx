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confir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009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wrapText="1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1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Referência</t>
        </is>
      </c>
      <c r="B1" s="1" t="inlineStr">
        <is>
          <t>Designação</t>
        </is>
      </c>
      <c r="C1" s="1" t="inlineStr">
        <is>
          <t>Quantidade</t>
        </is>
      </c>
      <c r="D1" s="1" t="inlineStr">
        <is>
          <t>Preço custo (unit.)</t>
        </is>
      </c>
      <c r="E1" s="1" t="inlineStr">
        <is>
          <t>Qtd × custo</t>
        </is>
      </c>
      <c r="F1" s="1" t="inlineStr">
        <is>
          <t>Preço Total no ficheiro</t>
        </is>
      </c>
      <c r="G1" s="1" t="inlineStr">
        <is>
          <t>Diferença</t>
        </is>
      </c>
      <c r="H1" s="1" t="inlineStr">
        <is>
          <t>Quantidade correta</t>
        </is>
      </c>
      <c r="I1" s="1" t="inlineStr">
        <is>
          <t>Custo unitário correto</t>
        </is>
      </c>
    </row>
    <row r="2">
      <c r="A2" s="2" t="inlineStr">
        <is>
          <t>IA13DVCV98768126</t>
        </is>
      </c>
      <c r="B2" s="2" t="inlineStr">
        <is>
          <t>Lampada Led E27 3000k</t>
        </is>
      </c>
      <c r="C2" s="2" t="n">
        <v>9</v>
      </c>
      <c r="D2" s="2" t="n">
        <v>3.7332</v>
      </c>
      <c r="E2" s="2">
        <f>ROUND(C2*D2,2)</f>
        <v/>
      </c>
      <c r="F2" s="2" t="n">
        <v>33.57</v>
      </c>
      <c r="G2" s="2">
        <f>E2-F2</f>
        <v/>
      </c>
      <c r="H2" s="3" t="n"/>
      <c r="I2" s="3" t="n"/>
    </row>
    <row r="3">
      <c r="A3" s="2" t="inlineStr">
        <is>
          <t>IM01CAJB00001010</t>
        </is>
      </c>
      <c r="B3" s="2" t="inlineStr">
        <is>
          <t>Cadeira JB</t>
        </is>
      </c>
      <c r="C3" s="2" t="n">
        <v>16</v>
      </c>
      <c r="D3" s="2" t="n">
        <v>65</v>
      </c>
      <c r="E3" s="2">
        <f>ROUND(C3*D3,2)</f>
        <v/>
      </c>
      <c r="F3" s="2" t="n">
        <v>975</v>
      </c>
      <c r="G3" s="2">
        <f>E3-F3</f>
        <v/>
      </c>
      <c r="H3" s="3" t="n"/>
      <c r="I3" s="3" t="n"/>
    </row>
    <row r="4">
      <c r="A4" s="2" t="inlineStr">
        <is>
          <t>IM01CAJM56926253</t>
        </is>
      </c>
      <c r="B4" s="2" t="inlineStr">
        <is>
          <t>Cadeira Lorena A 420 VB</t>
        </is>
      </c>
      <c r="C4" s="2" t="n">
        <v>6</v>
      </c>
      <c r="D4" s="2" t="n">
        <v>83.5975</v>
      </c>
      <c r="E4" s="2">
        <f>ROUND(C4*D4,2)</f>
        <v/>
      </c>
      <c r="F4" s="2" t="n">
        <v>501.6</v>
      </c>
      <c r="G4" s="2">
        <f>E4-F4</f>
        <v/>
      </c>
      <c r="H4" s="3" t="n"/>
      <c r="I4" s="3" t="n"/>
    </row>
    <row r="5">
      <c r="A5" s="2" t="inlineStr">
        <is>
          <t>IM01CANC34569261</t>
        </is>
      </c>
      <c r="B5" s="2" t="inlineStr">
        <is>
          <t>Cadeira em Ecopele Série A cor visón Ref. Valentina</t>
        </is>
      </c>
      <c r="C5" s="2" t="n">
        <v>1</v>
      </c>
      <c r="D5" s="2" t="n">
        <v>36.465</v>
      </c>
      <c r="E5" s="2">
        <f>ROUND(C5*D5,2)</f>
        <v/>
      </c>
      <c r="F5" s="2" t="n">
        <v>364.65</v>
      </c>
      <c r="G5" s="2">
        <f>E5-F5</f>
        <v/>
      </c>
      <c r="H5" s="3" t="n"/>
      <c r="I5" s="3" t="n"/>
    </row>
    <row r="6">
      <c r="A6" s="2" t="inlineStr">
        <is>
          <t>IM01DVLF00000451</t>
        </is>
      </c>
      <c r="B6" s="2" t="inlineStr">
        <is>
          <t>Conjunto vaso Celi</t>
        </is>
      </c>
      <c r="C6" s="2" t="n">
        <v>3</v>
      </c>
      <c r="D6" s="2" t="n">
        <v>77.28</v>
      </c>
      <c r="E6" s="2">
        <f>ROUND(C6*D6,2)</f>
        <v/>
      </c>
      <c r="F6" s="2" t="n">
        <v>154.56</v>
      </c>
      <c r="G6" s="2">
        <f>E6-F6</f>
        <v/>
      </c>
      <c r="H6" s="3" t="n"/>
      <c r="I6" s="3" t="n"/>
    </row>
    <row r="7">
      <c r="A7" s="2" t="inlineStr">
        <is>
          <t>IM01ROAD12346084</t>
        </is>
      </c>
      <c r="B7" s="2" t="inlineStr">
        <is>
          <t>Roupeiro em wenguê por desenho</t>
        </is>
      </c>
      <c r="C7" s="2" t="n">
        <v>1</v>
      </c>
      <c r="D7" s="2" t="n">
        <v>728.569</v>
      </c>
      <c r="E7" s="2">
        <f>ROUND(C7*D7,2)</f>
        <v/>
      </c>
      <c r="F7" s="2" t="n">
        <v>813.5700000000001</v>
      </c>
      <c r="G7" s="2">
        <f>E7-F7</f>
        <v/>
      </c>
      <c r="H7" s="3" t="n"/>
      <c r="I7" s="3" t="n"/>
    </row>
    <row r="8">
      <c r="A8" s="2" t="inlineStr">
        <is>
          <t>IM01TEAC00000760</t>
        </is>
      </c>
      <c r="B8" s="2" t="inlineStr">
        <is>
          <t>Candeeiro tecto Focus C1279/4</t>
        </is>
      </c>
      <c r="C8" s="2" t="n">
        <v>1</v>
      </c>
      <c r="D8" s="2" t="n">
        <v>17</v>
      </c>
      <c r="E8" s="2">
        <f>ROUND(C8*D8,2)</f>
        <v/>
      </c>
      <c r="F8" s="2" t="n">
        <v>34</v>
      </c>
      <c r="G8" s="2">
        <f>E8-F8</f>
        <v/>
      </c>
      <c r="H8" s="3" t="n"/>
      <c r="I8" s="3" t="n"/>
    </row>
    <row r="9">
      <c r="A9" s="2" t="inlineStr">
        <is>
          <t>IM02ABJG34567998</t>
        </is>
      </c>
      <c r="B9" s="2" t="inlineStr">
        <is>
          <t>Abajour 45 diâmetro amarelo</t>
        </is>
      </c>
      <c r="C9" s="2" t="n">
        <v>2</v>
      </c>
      <c r="D9" s="2" t="n">
        <v>9.775</v>
      </c>
      <c r="E9" s="2">
        <f>ROUND(C9*D9,2)</f>
        <v/>
      </c>
      <c r="F9" s="2" t="n">
        <v>9.779999999999999</v>
      </c>
      <c r="G9" s="2">
        <f>E9-F9</f>
        <v/>
      </c>
      <c r="H9" s="3" t="n"/>
      <c r="I9" s="3" t="n"/>
    </row>
    <row r="10">
      <c r="A10" s="2" t="inlineStr">
        <is>
          <t>IM02MEJG12347658</t>
        </is>
      </c>
      <c r="B10" s="2" t="inlineStr">
        <is>
          <t>Candeeiro de mesa c/2 circunferencias</t>
        </is>
      </c>
      <c r="C10" s="2" t="n">
        <v>1</v>
      </c>
      <c r="D10" s="2" t="n">
        <v>40.29</v>
      </c>
      <c r="E10" s="2">
        <f>ROUND(C10*D10,2)</f>
        <v/>
      </c>
      <c r="F10" s="2" t="n">
        <v>39.98</v>
      </c>
      <c r="G10" s="2">
        <f>E10-F10</f>
        <v/>
      </c>
      <c r="H10" s="3" t="n"/>
      <c r="I10" s="3" t="n"/>
    </row>
    <row r="11">
      <c r="A11" s="2" t="inlineStr">
        <is>
          <t>IM02PAJG23457461</t>
        </is>
      </c>
      <c r="B11" s="2" t="inlineStr">
        <is>
          <t>Candeeiro branco formato telefone</t>
        </is>
      </c>
      <c r="C11" s="2" t="n">
        <v>2</v>
      </c>
      <c r="D11" s="2" t="n">
        <v>62.7895</v>
      </c>
      <c r="E11" s="2">
        <f>ROUND(C11*D11,2)</f>
        <v/>
      </c>
      <c r="F11" s="2" t="n">
        <v>62.79</v>
      </c>
      <c r="G11" s="2">
        <f>E11-F11</f>
        <v/>
      </c>
      <c r="H11" s="3" t="n"/>
      <c r="I11" s="3" t="n"/>
    </row>
    <row r="12">
      <c r="A12" s="2" t="inlineStr">
        <is>
          <t>IM02TEEX12348435</t>
        </is>
      </c>
      <c r="B12" s="2" t="inlineStr">
        <is>
          <t>Aro encastre rectangular 2 lamapdas Ref. Apolo 22 - R Inox</t>
        </is>
      </c>
      <c r="C12" s="2" t="n">
        <v>1</v>
      </c>
      <c r="D12" s="2" t="n">
        <v>23.375</v>
      </c>
      <c r="E12" s="2">
        <f>ROUND(C12*D12,2)</f>
        <v/>
      </c>
      <c r="F12" s="2" t="n">
        <v>31.88</v>
      </c>
      <c r="G12" s="2">
        <f>E12-F12</f>
        <v/>
      </c>
      <c r="H12" s="3" t="n"/>
      <c r="I12" s="3" t="n"/>
    </row>
    <row r="13">
      <c r="A13" s="2" t="inlineStr">
        <is>
          <t>IM02TEJG12346859</t>
        </is>
      </c>
      <c r="B13" s="2" t="inlineStr">
        <is>
          <t>Candeeiro tecto c/ pendulo ( tipo barco)</t>
        </is>
      </c>
      <c r="C13" s="2" t="n">
        <v>1</v>
      </c>
      <c r="D13" s="2" t="n">
        <v>82.331</v>
      </c>
      <c r="E13" s="2">
        <f>ROUND(C13*D13,2)</f>
        <v/>
      </c>
      <c r="F13" s="2" t="n">
        <v>83.26000000000001</v>
      </c>
      <c r="G13" s="2">
        <f>E13-F13</f>
        <v/>
      </c>
      <c r="H13" s="3" t="n"/>
      <c r="I13" s="3" t="n"/>
    </row>
    <row r="14">
      <c r="A14" s="2" t="inlineStr">
        <is>
          <t>IM02TEJG12347636</t>
        </is>
      </c>
      <c r="B14" s="2" t="inlineStr">
        <is>
          <t>Cand. Fareto Lamp. Eco + lâmpada</t>
        </is>
      </c>
      <c r="C14" s="2" t="n">
        <v>2</v>
      </c>
      <c r="D14" s="2" t="n">
        <v>121.601</v>
      </c>
      <c r="E14" s="2">
        <f>ROUND(C14*D14,2)</f>
        <v/>
      </c>
      <c r="F14" s="2" t="n">
        <v>226.2</v>
      </c>
      <c r="G14" s="2">
        <f>E14-F14</f>
        <v/>
      </c>
      <c r="H14" s="3" t="n"/>
      <c r="I14" s="3" t="n"/>
    </row>
    <row r="15">
      <c r="A15" s="2" t="inlineStr">
        <is>
          <t>IM05TMJA34568380</t>
        </is>
      </c>
      <c r="B15" s="2" t="inlineStr">
        <is>
          <t>Tapete triangular 80x9x30 verde</t>
        </is>
      </c>
      <c r="C15" s="2" t="n">
        <v>1</v>
      </c>
      <c r="D15" s="2" t="n">
        <v>5.95</v>
      </c>
      <c r="E15" s="2">
        <f>ROUND(C15*D15,2)</f>
        <v/>
      </c>
      <c r="F15" s="2" t="n">
        <v>83.3</v>
      </c>
      <c r="G15" s="2">
        <f>E15-F15</f>
        <v/>
      </c>
      <c r="H15" s="3" t="n"/>
      <c r="I15" s="3" t="n"/>
    </row>
    <row r="16">
      <c r="A16" s="2" t="inlineStr">
        <is>
          <t>IM06DVJG23458000</t>
        </is>
      </c>
      <c r="B16" s="2" t="inlineStr">
        <is>
          <t>Flor cerâmica</t>
        </is>
      </c>
      <c r="C16" s="2" t="n">
        <v>1</v>
      </c>
      <c r="D16" s="2" t="n">
        <v>5.627</v>
      </c>
      <c r="E16" s="2">
        <f>ROUND(C16*D16,2)</f>
        <v/>
      </c>
      <c r="F16" s="2" t="n">
        <v>11.25</v>
      </c>
      <c r="G16" s="2">
        <f>E16-F16</f>
        <v/>
      </c>
      <c r="H16" s="3" t="n"/>
      <c r="I16" s="3" t="n"/>
    </row>
    <row r="17">
      <c r="A17" s="2" t="inlineStr">
        <is>
          <t>IM06DVMT98766717</t>
        </is>
      </c>
      <c r="B17" s="2" t="inlineStr">
        <is>
          <t>Flor Rose 50cm champagne</t>
        </is>
      </c>
      <c r="C17" s="2" t="n">
        <v>1</v>
      </c>
      <c r="D17" s="2" t="n">
        <v>4.1225</v>
      </c>
      <c r="E17" s="2">
        <f>ROUND(C17*D17,2)</f>
        <v/>
      </c>
      <c r="F17" s="2" t="n">
        <v>16.49</v>
      </c>
      <c r="G17" s="2">
        <f>E17-F17</f>
        <v/>
      </c>
      <c r="H17" s="3" t="n"/>
      <c r="I17" s="3" t="n"/>
    </row>
    <row r="18">
      <c r="A18" s="2" t="inlineStr">
        <is>
          <t>IM06PPAX00000298</t>
        </is>
      </c>
      <c r="B18" s="2" t="inlineStr">
        <is>
          <t>Deck em Teka</t>
        </is>
      </c>
      <c r="C18" s="2" t="n">
        <v>10.752</v>
      </c>
      <c r="D18" s="2" t="n">
        <v>17.595</v>
      </c>
      <c r="E18" s="2">
        <f>ROUND(C18*D18,2)</f>
        <v/>
      </c>
      <c r="F18" s="2" t="n">
        <v>189.15</v>
      </c>
      <c r="G18" s="2">
        <f>E18-F18</f>
        <v/>
      </c>
      <c r="H18" s="3" t="n"/>
      <c r="I18" s="3" t="n"/>
    </row>
    <row r="19">
      <c r="A19" s="2" t="inlineStr">
        <is>
          <t>IM06WCJG23457469</t>
        </is>
      </c>
      <c r="B19" s="2" t="inlineStr">
        <is>
          <t>Porta rolos de papel higiénico criança</t>
        </is>
      </c>
      <c r="C19" s="2" t="n">
        <v>1</v>
      </c>
      <c r="D19" s="2" t="n">
        <v>5.3295</v>
      </c>
      <c r="E19" s="2">
        <f>ROUND(C19*D19,2)</f>
        <v/>
      </c>
      <c r="F19" s="2" t="n">
        <v>10.66</v>
      </c>
      <c r="G19" s="2">
        <f>E19-F19</f>
        <v/>
      </c>
      <c r="H19" s="3" t="n"/>
      <c r="I19" s="3" t="n"/>
    </row>
    <row r="20">
      <c r="A20" s="2" t="inlineStr">
        <is>
          <t>IM07MCDA98766669</t>
        </is>
      </c>
      <c r="B20" s="2" t="inlineStr">
        <is>
          <t>Policarbonato alveolar 16mm</t>
        </is>
      </c>
      <c r="C20" s="2" t="n">
        <v>147</v>
      </c>
      <c r="D20" s="2" t="n">
        <v>16.7025</v>
      </c>
      <c r="E20" s="2">
        <f>ROUND(C20*D20,2)</f>
        <v/>
      </c>
      <c r="F20" s="2" t="n">
        <v>167.03</v>
      </c>
      <c r="G20" s="2">
        <f>E20-F20</f>
        <v/>
      </c>
      <c r="H20" s="3" t="n"/>
      <c r="I20" s="3" t="n"/>
    </row>
    <row r="21">
      <c r="A21" s="2" t="inlineStr">
        <is>
          <t>IM07RCDS00000565</t>
        </is>
      </c>
      <c r="B21" s="2" t="inlineStr">
        <is>
          <t>Cerâmico Somport Grey 90 x 90</t>
        </is>
      </c>
      <c r="C21" s="2" t="n">
        <v>12.96</v>
      </c>
      <c r="D21" s="2" t="n">
        <v>16.5325</v>
      </c>
      <c r="E21" s="2">
        <f>ROUND(C21*D21,2)</f>
        <v/>
      </c>
      <c r="F21" s="2" t="n">
        <v>214.81</v>
      </c>
      <c r="G21" s="2">
        <f>E21-F21</f>
        <v/>
      </c>
      <c r="H21" s="3" t="n"/>
      <c r="I21" s="3" t="n"/>
    </row>
    <row r="22">
      <c r="A22" s="2" t="inlineStr">
        <is>
          <t>IM07RCFA00000324</t>
        </is>
      </c>
      <c r="B22" s="2" t="inlineStr">
        <is>
          <t>Cerâmico Naos blanco 60 x 60</t>
        </is>
      </c>
      <c r="C22" s="2" t="n">
        <v>8.02</v>
      </c>
      <c r="D22" s="2" t="n">
        <v>11.135</v>
      </c>
      <c r="E22" s="2">
        <f>ROUND(C22*D22,2)</f>
        <v/>
      </c>
      <c r="F22" s="2" t="n">
        <v>89.27</v>
      </c>
      <c r="G22" s="2">
        <f>E22-F22</f>
        <v/>
      </c>
      <c r="H22" s="3" t="n"/>
      <c r="I22" s="3" t="n"/>
    </row>
    <row r="23">
      <c r="A23" s="2" t="inlineStr">
        <is>
          <t>IM12ACHM00000772</t>
        </is>
      </c>
      <c r="B23" s="2" t="inlineStr">
        <is>
          <t>Cabide forma animais</t>
        </is>
      </c>
      <c r="C23" s="2" t="n">
        <v>2</v>
      </c>
      <c r="D23" s="2" t="n">
        <v>3.93</v>
      </c>
      <c r="E23" s="2">
        <f>ROUND(C23*D23,2)</f>
        <v/>
      </c>
      <c r="F23" s="2" t="n">
        <v>3.93</v>
      </c>
      <c r="G23" s="2">
        <f>E23-F23</f>
        <v/>
      </c>
      <c r="H23" s="3" t="n"/>
      <c r="I23" s="3" t="n"/>
    </row>
    <row r="24">
      <c r="A24" s="2" t="inlineStr">
        <is>
          <t>IM12VDCS00000918</t>
        </is>
      </c>
      <c r="B24" s="2" t="inlineStr">
        <is>
          <t>Espelho Lagoon medida 50 x 100</t>
        </is>
      </c>
      <c r="C24" s="2" t="n">
        <v>2</v>
      </c>
      <c r="D24" s="2" t="n">
        <v>232.7</v>
      </c>
      <c r="E24" s="2">
        <f>ROUND(C24*D24,2)</f>
        <v/>
      </c>
      <c r="F24" s="2" t="n">
        <v>232.7</v>
      </c>
      <c r="G24" s="2">
        <f>E24-F24</f>
        <v/>
      </c>
      <c r="H24" s="3" t="n"/>
      <c r="I24" s="3" t="n"/>
    </row>
    <row r="25">
      <c r="A25" s="2" t="inlineStr">
        <is>
          <t>IP07MCNP98766943</t>
        </is>
      </c>
      <c r="B25" s="2" t="inlineStr">
        <is>
          <t>Espuma Poliuretano 850ml</t>
        </is>
      </c>
      <c r="C25" s="2" t="n">
        <v>2</v>
      </c>
      <c r="D25" s="2" t="n">
        <v>3.86</v>
      </c>
      <c r="E25" s="2">
        <f>ROUND(C25*D25,2)</f>
        <v/>
      </c>
      <c r="F25" s="2" t="n">
        <v>16.04</v>
      </c>
      <c r="G25" s="2">
        <f>E25-F25</f>
        <v/>
      </c>
      <c r="H25" s="3" t="n"/>
      <c r="I25" s="3" t="n"/>
    </row>
    <row r="26">
      <c r="A26" s="2" t="inlineStr">
        <is>
          <t>IS07MCJG34568304</t>
        </is>
      </c>
      <c r="B26" s="2" t="inlineStr">
        <is>
          <t>Fechadura de porta completa</t>
        </is>
      </c>
      <c r="C26" s="2" t="n">
        <v>14</v>
      </c>
      <c r="D26" s="2" t="n">
        <v>3.2045</v>
      </c>
      <c r="E26" s="2">
        <f>ROUND(C26*D26,2)</f>
        <v/>
      </c>
      <c r="F26" s="2" t="n">
        <v>54.48</v>
      </c>
      <c r="G26" s="2">
        <f>E26-F26</f>
        <v/>
      </c>
      <c r="H26" s="3" t="n"/>
      <c r="I26" s="3" t="n"/>
    </row>
    <row r="28">
      <c r="A28" t="inlineStr">
        <is>
          <t>Linhas onde Quantidade × Preço custo não coincide com o Preço Total do inventário de 02/10/2026. No Odoo foram importadas a Quantidade e o Preço custo tal como estão. Preencher as colunas amarelas só se esses valores estiverem errados.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2026-10-02T15:34:45Z</dcterms:created>
  <dcterms:modified xmlns:dcterms="http://purl.org/dc/terms/" xmlns:xsi="http://www.w3.org/2001/XMLSchema-instance" xsi:type="dcterms:W3CDTF">2026-10-02T15:34:45Z</dcterms:modified>
</cp:coreProperties>
</file>