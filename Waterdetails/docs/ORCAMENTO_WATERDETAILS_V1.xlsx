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8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oftware" sheetId="2" state="visible" r:id="rId2"/>
    <sheet xmlns:r="http://schemas.openxmlformats.org/officeDocument/2006/relationships" name="Serviços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DB" sheetId="6" state="visible" r:id="rId6"/>
    <sheet xmlns:r="http://schemas.openxmlformats.org/officeDocument/2006/relationships" name="tarefas" sheetId="7" state="visible" r:id="rId7"/>
    <sheet xmlns:r="http://schemas.openxmlformats.org/officeDocument/2006/relationships" name="artigos" sheetId="8" state="visible" r:id="rId8"/>
    <sheet xmlns:r="http://schemas.openxmlformats.org/officeDocument/2006/relationships" name="Empres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&quot;€&quot;_-;\-* #,##0.00\ &quot;€&quot;_-;_-* &quot;-&quot;??\ &quot;€&quot;_-;_-@_-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000000"/>
      <sz val="11"/>
    </font>
    <font>
      <name val="Calibri"/>
      <i val="1"/>
      <color rgb="FFFF0000"/>
      <sz val="10"/>
    </font>
    <font>
      <name val="Calibri"/>
      <b val="1"/>
      <color rgb="FFFFFFFF"/>
      <sz val="14"/>
    </font>
    <font>
      <name val="Calibri"/>
      <i val="1"/>
      <color rgb="FF4472C4"/>
      <sz val="11"/>
    </font>
    <font>
      <name val="Calibri"/>
      <i val="1"/>
      <color rgb="FF595959"/>
      <sz val="9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D9D9D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164" fontId="4" fillId="7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1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" fontId="4" fillId="7" borderId="1" applyAlignment="1" pivotButton="0" quotePrefix="0" xfId="0">
      <alignment vertical="center"/>
    </xf>
    <xf numFmtId="165" fontId="4" fillId="7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" fontId="3" fillId="5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1" fontId="2" fillId="2" borderId="1" applyAlignment="1" pivotButton="0" quotePrefix="0" xfId="0">
      <alignment vertical="center"/>
    </xf>
    <xf numFmtId="165" fontId="2" fillId="2" borderId="1" applyAlignment="1" pivotButton="0" quotePrefix="0" xfId="0">
      <alignment vertical="center"/>
    </xf>
    <xf numFmtId="0" fontId="0" fillId="6" borderId="0" pivotButton="0" quotePrefix="0" xfId="0"/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9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9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3" fillId="4" borderId="1" applyAlignment="1" pivotButton="0" quotePrefix="0" xfId="0">
      <alignment vertical="center" wrapText="1"/>
    </xf>
    <xf numFmtId="164" fontId="2" fillId="2" borderId="1" applyAlignment="1" pivotButton="0" quotePrefix="0" xfId="0">
      <alignment vertical="center"/>
    </xf>
    <xf numFmtId="164" fontId="4" fillId="7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5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165" fontId="4" fillId="7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165" fontId="2" fillId="2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C28"/>
  <sheetViews>
    <sheetView workbookViewId="0">
      <selection activeCell="B7" sqref="B7"/>
    </sheetView>
  </sheetViews>
  <sheetFormatPr baseColWidth="8" defaultRowHeight="14.4"/>
  <cols>
    <col width="48" customWidth="1" style="41" min="1" max="1"/>
    <col width="22" customWidth="1" style="41" min="2" max="2"/>
    <col width="36" customWidth="1" style="41" min="3" max="3"/>
  </cols>
  <sheetData>
    <row r="1" ht="36" customHeight="1" s="41">
      <c r="A1" s="43" t="inlineStr">
        <is>
          <t>Virgin Details, Lda — Orçamento Odoo</t>
        </is>
      </c>
      <c r="B1" s="38" t="n"/>
      <c r="C1" s="39" t="n"/>
    </row>
    <row r="2" ht="19.95" customHeight="1" s="41">
      <c r="A2" s="46" t="inlineStr">
        <is>
          <t>Parâmetro Global · Consultoria Informática · 25/05/2026</t>
        </is>
      </c>
    </row>
    <row r="4" ht="22.05" customHeight="1" s="41">
      <c r="A4" s="44" t="inlineStr">
        <is>
          <t>1. IMPLEMENTAÇÃO — Custo Único (Fase 1 — Faturação)</t>
        </is>
      </c>
    </row>
    <row r="5">
      <c r="A5" s="1" t="inlineStr">
        <is>
          <t>Rúbrica</t>
        </is>
      </c>
      <c r="B5" s="1" t="inlineStr">
        <is>
          <t>Valor (€)</t>
        </is>
      </c>
      <c r="C5" s="1" t="inlineStr">
        <is>
          <t>Notas</t>
        </is>
      </c>
    </row>
    <row r="6">
      <c r="A6" s="2" t="inlineStr">
        <is>
          <t>Serviços — Fase 1 (Faturação)</t>
        </is>
      </c>
      <c r="B6" s="48" t="n">
        <v>5400</v>
      </c>
      <c r="C6" s="2" t="inlineStr">
        <is>
          <t>Detalhe em sheet Serviços — 80h / 10 dias / ~6 semanas</t>
        </is>
      </c>
    </row>
    <row r="7">
      <c r="A7" s="2" t="inlineStr">
        <is>
          <t>Software Odoo Enterprise — 1.º Ano</t>
        </is>
      </c>
      <c r="B7" s="48">
        <f>Software!G6</f>
        <v/>
      </c>
      <c r="C7" s="2" t="inlineStr">
        <is>
          <t>⚠ Placeholder — confirmar c/ Stefano Biglieri (Odoo Enterprise 5 users, Odoo SH)</t>
        </is>
      </c>
    </row>
    <row r="8">
      <c r="A8" s="2" t="inlineStr">
        <is>
          <t>Plugin Certificação AT — 1.º Ano</t>
        </is>
      </c>
      <c r="B8" s="48">
        <f>Software!G12</f>
        <v/>
      </c>
      <c r="C8" s="2" t="inlineStr">
        <is>
          <t>⚠ Placeholder — confirmar c/ Stefano Biglieri (plugin AT certificação faturas)</t>
        </is>
      </c>
    </row>
    <row r="9">
      <c r="A9" s="4" t="inlineStr">
        <is>
          <t>TOTAL 1.º ANO (sem IVA)</t>
        </is>
      </c>
      <c r="B9" s="49" t="n">
        <v>7752</v>
      </c>
      <c r="C9" s="4" t="n"/>
    </row>
    <row r="10">
      <c r="A10" s="6" t="inlineStr">
        <is>
          <t>IVA (23%)</t>
        </is>
      </c>
      <c r="B10" s="50" t="n">
        <v>1782.96</v>
      </c>
      <c r="C10" s="6" t="n"/>
    </row>
    <row r="11">
      <c r="A11" s="6" t="inlineStr">
        <is>
          <t>TOTAL 1.º ANO (com IVA)</t>
        </is>
      </c>
      <c r="B11" s="50" t="n">
        <v>9534.959999999999</v>
      </c>
      <c r="C11" s="6" t="inlineStr">
        <is>
          <t>Valor final faturável</t>
        </is>
      </c>
    </row>
    <row r="13" ht="22.05" customHeight="1" s="41">
      <c r="A13" s="42" t="inlineStr">
        <is>
          <t>2. EXPLORAÇÃO — Valores Anuais (a partir do 2.º Ano)</t>
        </is>
      </c>
    </row>
    <row r="14">
      <c r="A14" s="1" t="inlineStr">
        <is>
          <t>Rúbrica</t>
        </is>
      </c>
      <c r="B14" s="1" t="inlineStr">
        <is>
          <t>Valor (€)</t>
        </is>
      </c>
      <c r="C14" s="1" t="inlineStr">
        <is>
          <t>Notas</t>
        </is>
      </c>
    </row>
    <row r="15">
      <c r="A15" s="2" t="inlineStr">
        <is>
          <t>Software Odoo Enterprise (anos seguintes)</t>
        </is>
      </c>
      <c r="B15" s="48">
        <f>Software!H6</f>
        <v/>
      </c>
      <c r="C15" s="2" t="inlineStr">
        <is>
          <t>⚠ Placeholder — confirmar c/ Stefano</t>
        </is>
      </c>
    </row>
    <row r="16">
      <c r="A16" s="2" t="inlineStr">
        <is>
          <t>Plugin Certificação AT (anos seguintes)</t>
        </is>
      </c>
      <c r="B16" s="48">
        <f>Software!H12</f>
        <v/>
      </c>
      <c r="C16" s="2" t="inlineStr">
        <is>
          <t>⚠ Placeholder — confirmar c/ Stefano</t>
        </is>
      </c>
    </row>
    <row r="17">
      <c r="A17" s="2" t="inlineStr">
        <is>
          <t>Apoio Após Venda — Parâmetro Global</t>
        </is>
      </c>
      <c r="B17" s="48">
        <f>Config!$B$12</f>
        <v/>
      </c>
      <c r="C17" s="2" t="inlineStr">
        <is>
          <t>Contrato anual suporte e manutenção</t>
        </is>
      </c>
    </row>
    <row r="18">
      <c r="A18" s="4" t="inlineStr">
        <is>
          <t>TOTAL ANUAL (sem IVA)</t>
        </is>
      </c>
      <c r="B18" s="49">
        <f>SUM(B15:B17)</f>
        <v/>
      </c>
      <c r="C18" s="4" t="n"/>
    </row>
    <row r="20" ht="22.05" customHeight="1" s="41">
      <c r="A20" s="45" t="inlineStr">
        <is>
          <t>3. FASES SEGUINTES (Indicativo — a confirmar após go-live Fase 1)</t>
        </is>
      </c>
    </row>
    <row r="21">
      <c r="A21" s="1" t="inlineStr">
        <is>
          <t>Rúbrica</t>
        </is>
      </c>
      <c r="B21" s="1" t="inlineStr">
        <is>
          <t>Valor (€)</t>
        </is>
      </c>
      <c r="C21" s="1" t="inlineStr">
        <is>
          <t>Notas</t>
        </is>
      </c>
    </row>
    <row r="22">
      <c r="A22" s="2" t="inlineStr">
        <is>
          <t>Serviços — Fase 2: Operação Comercial (indicativo)</t>
        </is>
      </c>
      <c r="B22" s="48" t="n">
        <v>4360</v>
      </c>
      <c r="C22" s="2" t="inlineStr">
        <is>
          <t>CRM, Pipedrive [POR VALIDAR], Compras, Inventário — ver sheet Serviços</t>
        </is>
      </c>
    </row>
    <row r="23">
      <c r="A23" s="4" t="inlineStr">
        <is>
          <t>SUBTOTAL FASE 2 (sem IVA)</t>
        </is>
      </c>
      <c r="B23" s="49" t="n">
        <v>4360</v>
      </c>
      <c r="C23" s="4" t="n"/>
    </row>
    <row r="24">
      <c r="A24" t="inlineStr">
        <is>
          <t>Serviços — Fase 3: Expansão (indicativo) [POR VALIDAR]</t>
        </is>
      </c>
      <c r="B24" t="n">
        <v>4680</v>
      </c>
      <c r="C24" t="inlineStr">
        <is>
          <t>BoM, Multiempresa (Starplast SRLE), Analítica, Módulos — ver sheet Serviços</t>
        </is>
      </c>
    </row>
    <row r="25" ht="48" customHeight="1" s="41">
      <c r="A25" s="40" t="inlineStr">
        <is>
          <t>SUBTOTAL FASE 3 (sem IVA)</t>
        </is>
      </c>
      <c r="B25" t="n">
        <v>4680</v>
      </c>
    </row>
    <row r="26">
      <c r="A26" t="inlineStr">
        <is>
          <t>TOTAL FASES SEGUINTES (Fase 2 + Fase 3, indicativo)</t>
        </is>
      </c>
      <c r="B26" t="n">
        <v>9040</v>
      </c>
    </row>
    <row r="27">
      <c r="A27" t="inlineStr">
        <is>
          <t>Nota: Licenciamento Odoo e plugin AT — valores placeholder, confirmar c/ Stefano Biglieri. Fase 2 e Fase 3 sujeitas a levantamento de requisitos adicional. Cada fase tem orçamento e proposta própria após go-live da anterior. Proposta válida até 20/06/2026.</t>
        </is>
      </c>
    </row>
    <row r="28"/>
  </sheetData>
  <mergeCells count="5">
    <mergeCell ref="A13:C13"/>
    <mergeCell ref="A1:C1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D7D31"/>
    <outlinePr summaryBelow="1" summaryRight="1"/>
    <pageSetUpPr/>
  </sheetPr>
  <dimension ref="A1:H15"/>
  <sheetViews>
    <sheetView workbookViewId="0">
      <selection activeCell="H10" sqref="H10"/>
    </sheetView>
  </sheetViews>
  <sheetFormatPr baseColWidth="8" defaultRowHeight="14.4"/>
  <cols>
    <col width="40" customWidth="1" style="41" min="1" max="1"/>
    <col width="14" customWidth="1" style="41" min="2" max="2"/>
    <col width="22" customWidth="1" style="41" min="3" max="3"/>
    <col width="16" customWidth="1" style="41" min="4" max="4"/>
    <col width="22" customWidth="1" style="41" min="5" max="5"/>
    <col width="18" customWidth="1" style="41" min="6" max="7"/>
    <col width="22" customWidth="1" style="41" min="8" max="8"/>
  </cols>
  <sheetData>
    <row r="1" ht="30" customHeight="1" s="41">
      <c r="A1" s="37" t="inlineStr">
        <is>
          <t>Licenciamento Odoo — Proposta de Software</t>
        </is>
      </c>
      <c r="B1" s="38" t="n"/>
      <c r="C1" s="38" t="n"/>
      <c r="D1" s="38" t="n"/>
      <c r="E1" s="38" t="n"/>
      <c r="F1" s="38" t="n"/>
      <c r="G1" s="38" t="n"/>
      <c r="H1" s="39" t="n"/>
    </row>
    <row r="2">
      <c r="A2" s="47" t="inlineStr">
        <is>
          <t>⚠  Valores a confirmar por Stefano Biglieri — preencher células amarelas C5, C10, C11</t>
        </is>
      </c>
    </row>
    <row r="3" ht="28.05" customHeight="1" s="41">
      <c r="A3" s="1" t="inlineStr">
        <is>
          <t>Descrição</t>
        </is>
      </c>
      <c r="B3" s="1" t="inlineStr">
        <is>
          <t>Utilizadores</t>
        </is>
      </c>
      <c r="C3" s="1" t="inlineStr">
        <is>
          <t>Valor/Mês/User (€)</t>
        </is>
      </c>
      <c r="D3" s="1" t="inlineStr">
        <is>
          <t>Desconto 1.º Ano</t>
        </is>
      </c>
      <c r="E3" s="1" t="inlineStr">
        <is>
          <t>Valor c/ Desc. Mensal</t>
        </is>
      </c>
      <c r="F3" s="1" t="inlineStr">
        <is>
          <t>Total Mensal (€)</t>
        </is>
      </c>
      <c r="G3" s="1" t="inlineStr">
        <is>
          <t>Total 1.º Ano (€)</t>
        </is>
      </c>
      <c r="H3" s="1" t="inlineStr">
        <is>
          <t>Total Anos Seg. (€)</t>
        </is>
      </c>
    </row>
    <row r="4" ht="22.05" customHeight="1" s="41">
      <c r="A4" s="44" t="inlineStr">
        <is>
          <t>Licenciamento Odoo Enterprise (Odoo SH)</t>
        </is>
      </c>
    </row>
    <row r="5">
      <c r="A5" s="8" t="inlineStr">
        <is>
          <t>Odoo Enterprise + Odoo SH</t>
        </is>
      </c>
      <c r="B5" s="9">
        <f>Config!$B$7</f>
        <v/>
      </c>
      <c r="C5" s="10" t="n">
        <v>38</v>
      </c>
      <c r="D5" s="11">
        <f>Config!$B$8</f>
        <v/>
      </c>
      <c r="E5" s="51">
        <f>C5*(1-D5)</f>
        <v/>
      </c>
      <c r="F5" s="51">
        <f>E5*B5</f>
        <v/>
      </c>
      <c r="G5" s="51">
        <f>F5*12</f>
        <v/>
      </c>
      <c r="H5" s="51">
        <f>C5*B5*12</f>
        <v/>
      </c>
    </row>
    <row r="6">
      <c r="A6" s="6" t="inlineStr">
        <is>
          <t>TOTAL Odoo Enterprise</t>
        </is>
      </c>
      <c r="B6" s="6" t="n"/>
      <c r="C6" s="6" t="n"/>
      <c r="D6" s="6" t="n"/>
      <c r="E6" s="6" t="n"/>
      <c r="F6" s="6" t="n"/>
      <c r="G6" s="50">
        <f>G5</f>
        <v/>
      </c>
      <c r="H6" s="50">
        <f>H5</f>
        <v/>
      </c>
    </row>
    <row r="8" ht="22.05" customHeight="1" s="41">
      <c r="A8" s="44" t="inlineStr">
        <is>
          <t>Plugin de Certificação de Faturas (AT)</t>
        </is>
      </c>
    </row>
    <row r="10">
      <c r="A10" s="8" t="inlineStr">
        <is>
          <t>Subscrição base plugin AT (anual)</t>
        </is>
      </c>
      <c r="B10" s="13" t="n">
        <v>1</v>
      </c>
      <c r="C10" s="10" t="n">
        <v>420</v>
      </c>
      <c r="D10" s="11">
        <f>Config!$B$8</f>
        <v/>
      </c>
      <c r="E10" s="51">
        <f>C10*(1-D10)/12</f>
        <v/>
      </c>
      <c r="F10" s="51">
        <f>E10</f>
        <v/>
      </c>
      <c r="G10" s="51">
        <f>C10*(1-D10)</f>
        <v/>
      </c>
      <c r="H10" s="51">
        <f>C10</f>
        <v/>
      </c>
    </row>
    <row r="11">
      <c r="A11" s="8" t="inlineStr">
        <is>
          <t>Taxa por utilizador — plugin AT (anual)</t>
        </is>
      </c>
      <c r="B11" s="9">
        <f>Config!$B$7</f>
        <v/>
      </c>
      <c r="C11" s="10" t="n">
        <v>48</v>
      </c>
      <c r="D11" s="11">
        <f>Config!$B$8</f>
        <v/>
      </c>
      <c r="E11" s="51">
        <f>C11*(1-D11)/12</f>
        <v/>
      </c>
      <c r="F11" s="51">
        <f>E11*B11</f>
        <v/>
      </c>
      <c r="G11" s="51">
        <f>C11*(1-D11)*B11</f>
        <v/>
      </c>
      <c r="H11" s="51">
        <f>C11*B11</f>
        <v/>
      </c>
    </row>
    <row r="12">
      <c r="A12" s="6" t="inlineStr">
        <is>
          <t>TOTAL Plugin AT</t>
        </is>
      </c>
      <c r="B12" s="6" t="n"/>
      <c r="C12" s="6" t="n"/>
      <c r="D12" s="6" t="n"/>
      <c r="E12" s="6" t="n"/>
      <c r="F12" s="6" t="n"/>
      <c r="G12" s="50">
        <f>G10+G11</f>
        <v/>
      </c>
      <c r="H12" s="50">
        <f>H10+H11</f>
        <v/>
      </c>
    </row>
    <row r="15">
      <c r="A15" s="4" t="inlineStr">
        <is>
          <t>TOTAL SOFTWARE</t>
        </is>
      </c>
      <c r="B15" s="4" t="n"/>
      <c r="C15" s="4" t="n"/>
      <c r="D15" s="4" t="n"/>
      <c r="E15" s="4" t="n"/>
      <c r="F15" s="4" t="n"/>
      <c r="G15" s="49">
        <f>G6+G12</f>
        <v/>
      </c>
      <c r="H15" s="49">
        <f>H6+H12</f>
        <v/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E36"/>
  <sheetViews>
    <sheetView topLeftCell="A2" workbookViewId="0">
      <selection activeCell="E16" sqref="E16"/>
    </sheetView>
  </sheetViews>
  <sheetFormatPr baseColWidth="8" defaultRowHeight="14.4"/>
  <cols>
    <col width="30" customWidth="1" style="41" min="1" max="1"/>
    <col width="50" customWidth="1" style="41" min="2" max="2"/>
    <col width="12" customWidth="1" style="41" min="3" max="3"/>
    <col width="10" customWidth="1" style="41" min="4" max="4"/>
    <col width="18" customWidth="1" style="41" min="5" max="5"/>
  </cols>
  <sheetData>
    <row r="1" ht="30" customHeight="1" s="41">
      <c r="A1" s="37" t="inlineStr">
        <is>
          <t>Detalhe de Serviços — Implementação Odoo</t>
        </is>
      </c>
      <c r="B1" s="38" t="n"/>
      <c r="C1" s="38" t="n"/>
      <c r="D1" s="38" t="n"/>
      <c r="E1" s="39" t="n"/>
    </row>
    <row r="2" ht="22.05" customHeight="1" s="41">
      <c r="A2" s="44" t="inlineStr">
        <is>
          <t>FASE 1 — Faturação (Virgin Details, Lda)</t>
        </is>
      </c>
    </row>
    <row r="3">
      <c r="A3" s="1" t="inlineStr">
        <is>
          <t>Fase</t>
        </is>
      </c>
      <c r="B3" s="1" t="inlineStr">
        <is>
          <t>Descrição</t>
        </is>
      </c>
      <c r="C3" s="1" t="inlineStr">
        <is>
          <t>Horas</t>
        </is>
      </c>
      <c r="D3" s="1" t="inlineStr">
        <is>
          <t>Dias</t>
        </is>
      </c>
      <c r="E3" s="1" t="inlineStr">
        <is>
          <t>Valor (€)</t>
        </is>
      </c>
    </row>
    <row r="4">
      <c r="A4" s="14" t="inlineStr">
        <is>
          <t>01.Gestão de Projeto</t>
        </is>
      </c>
      <c r="B4" s="14" t="inlineStr">
        <is>
          <t>Kick-off, acompanhamento quinzenal, reporting, encerramento de fase</t>
        </is>
      </c>
      <c r="C4" s="15" t="n">
        <v>8</v>
      </c>
      <c r="D4" s="52" t="n">
        <v>1</v>
      </c>
      <c r="E4" s="53" t="n">
        <v>720</v>
      </c>
    </row>
    <row r="5">
      <c r="A5" s="14" t="inlineStr">
        <is>
          <t>02.Kick-off + Configuração</t>
        </is>
      </c>
      <c r="B5" s="14" t="inlineStr">
        <is>
          <t>Setup empresa, 5 utilizadores, grupos de acesso, e-mail e templates</t>
        </is>
      </c>
      <c r="C5" s="15" t="n">
        <v>12</v>
      </c>
      <c r="D5" s="52" t="n">
        <v>1.5</v>
      </c>
      <c r="E5" s="53" t="n">
        <v>780</v>
      </c>
    </row>
    <row r="6">
      <c r="A6" s="14" t="inlineStr">
        <is>
          <t>03.Contactos e Produtos</t>
        </is>
      </c>
      <c r="B6" s="14" t="inlineStr">
        <is>
          <t>Clientes, fornecedores, produtos e serviços; importação de PHC GO e Excel</t>
        </is>
      </c>
      <c r="C6" s="15" t="n">
        <v>8</v>
      </c>
      <c r="D6" s="52" t="n">
        <v>1</v>
      </c>
      <c r="E6" s="53" t="n">
        <v>520</v>
      </c>
    </row>
    <row r="7">
      <c r="A7" s="14" t="inlineStr">
        <is>
          <t>04.Vendas e Faturação</t>
        </is>
      </c>
      <c r="B7" s="14" t="inlineStr">
        <is>
          <t>Orçamentos, encomendas, faturas, notas de crédito, faturação certificada AT</t>
        </is>
      </c>
      <c r="C7" s="15" t="n">
        <v>16</v>
      </c>
      <c r="D7" s="52" t="n">
        <v>2</v>
      </c>
      <c r="E7" s="53" t="n">
        <v>1040</v>
      </c>
    </row>
    <row r="8">
      <c r="A8" s="14" t="inlineStr">
        <is>
          <t>05.Financeiro l10n_pt</t>
        </is>
      </c>
      <c r="B8" s="14" t="inlineStr">
        <is>
          <t>Plano contas PT, IVA, SAF-T, plugin AT, condições pagamento, banca</t>
        </is>
      </c>
      <c r="C8" s="15" t="n">
        <v>16</v>
      </c>
      <c r="D8" s="52" t="n">
        <v>2</v>
      </c>
      <c r="E8" s="53" t="n">
        <v>1040</v>
      </c>
    </row>
    <row r="9">
      <c r="A9" s="14" t="inlineStr">
        <is>
          <t>06.Migração PHC GO</t>
        </is>
      </c>
      <c r="B9" s="14" t="inlineStr">
        <is>
          <t>Importação produtos, clientes/fornecedores, saldos em aberto de PHC GO</t>
        </is>
      </c>
      <c r="C9" s="15" t="n">
        <v>16</v>
      </c>
      <c r="D9" s="52" t="n">
        <v>2</v>
      </c>
      <c r="E9" s="53" t="n">
        <v>1040</v>
      </c>
    </row>
    <row r="10">
      <c r="A10" s="14" t="inlineStr">
        <is>
          <t>07.Testes + Formação + Arranque</t>
        </is>
      </c>
      <c r="B10" s="14" t="inlineStr">
        <is>
          <t>Testes faturação end-to-end, formação 5 utilizadores, suporte go-live</t>
        </is>
      </c>
      <c r="C10" s="15" t="n">
        <v>4</v>
      </c>
      <c r="D10" s="52" t="n">
        <v>0.5</v>
      </c>
      <c r="E10" s="53" t="n">
        <v>260</v>
      </c>
    </row>
    <row r="11">
      <c r="A11" s="14" t="n"/>
      <c r="B11" s="14" t="n"/>
      <c r="C11" s="15" t="n"/>
      <c r="D11" s="52" t="n"/>
      <c r="E11" s="53" t="n"/>
    </row>
    <row r="12">
      <c r="A12" s="14" t="n"/>
      <c r="B12" s="14" t="n"/>
      <c r="C12" s="15" t="n"/>
      <c r="D12" s="52" t="n"/>
      <c r="E12" s="53" t="n"/>
    </row>
    <row r="13">
      <c r="A13" s="18" t="n"/>
      <c r="B13" s="14" t="n"/>
      <c r="C13" s="15" t="n"/>
      <c r="D13" s="52" t="n"/>
      <c r="E13" s="53" t="n"/>
    </row>
    <row r="14">
      <c r="A14" s="14" t="n"/>
      <c r="B14" s="14" t="n"/>
      <c r="C14" s="15" t="n"/>
      <c r="D14" s="52" t="n"/>
      <c r="E14" s="53" t="n"/>
    </row>
    <row r="15">
      <c r="A15" s="14" t="n"/>
      <c r="B15" s="14" t="n"/>
      <c r="C15" s="15" t="n"/>
      <c r="D15" s="52" t="n"/>
      <c r="E15" s="53" t="n"/>
    </row>
    <row r="16">
      <c r="A16" s="6" t="inlineStr">
        <is>
          <t>SUBTOTAL FASE 1</t>
        </is>
      </c>
      <c r="B16" s="6" t="n"/>
      <c r="C16" s="19" t="n">
        <v>80</v>
      </c>
      <c r="D16" s="54" t="n">
        <v>10</v>
      </c>
      <c r="E16" s="50" t="n">
        <v>5400</v>
      </c>
    </row>
    <row r="18" ht="22.05" customHeight="1" s="41">
      <c r="A18" s="42" t="inlineStr">
        <is>
          <t>FASE 2 — Operação Comercial (Indicativo — após go-live Fase 1)</t>
        </is>
      </c>
    </row>
    <row r="19">
      <c r="A19" s="1" t="inlineStr">
        <is>
          <t>Fase</t>
        </is>
      </c>
      <c r="B19" s="1" t="inlineStr">
        <is>
          <t>Descrição</t>
        </is>
      </c>
      <c r="C19" s="1" t="inlineStr">
        <is>
          <t>Horas</t>
        </is>
      </c>
      <c r="D19" s="1" t="inlineStr">
        <is>
          <t>Dias</t>
        </is>
      </c>
      <c r="E19" s="1" t="inlineStr">
        <is>
          <t>Valor (€)</t>
        </is>
      </c>
    </row>
    <row r="20">
      <c r="A20" s="18" t="inlineStr">
        <is>
          <t>08.CRM</t>
        </is>
      </c>
      <c r="B20" s="21" t="inlineStr">
        <is>
          <t>Pipeline, fases, probabilidades, templates e-mail, atividades, dashboards</t>
        </is>
      </c>
      <c r="C20" s="22" t="n">
        <v>8</v>
      </c>
      <c r="D20" s="55" t="n">
        <v>1</v>
      </c>
      <c r="E20" s="56" t="n">
        <v>520</v>
      </c>
    </row>
    <row r="21">
      <c r="A21" s="18" t="inlineStr">
        <is>
          <t>09.Migração Pipedrive</t>
        </is>
      </c>
      <c r="B21" s="21" t="inlineStr">
        <is>
          <t>Exportação, mapeamento e importação CRM Pipedrive → Odoo [POR VALIDAR]</t>
        </is>
      </c>
      <c r="C21" s="22" t="n">
        <v>16</v>
      </c>
      <c r="D21" s="55" t="n">
        <v>2</v>
      </c>
      <c r="E21" s="56" t="n">
        <v>1040</v>
      </c>
    </row>
    <row r="22">
      <c r="A22" s="21" t="inlineStr">
        <is>
          <t>10.Compras</t>
        </is>
      </c>
      <c r="B22" s="21" t="inlineStr">
        <is>
          <t>Fornecedores europeus, preços custo, lead times, regras MTO</t>
        </is>
      </c>
      <c r="C22" s="22" t="n">
        <v>8</v>
      </c>
      <c r="D22" s="55" t="n">
        <v>1</v>
      </c>
      <c r="E22" s="56" t="n">
        <v>520</v>
      </c>
    </row>
    <row r="23">
      <c r="A23" s="18" t="inlineStr">
        <is>
          <t>11.Inventário e Logística</t>
        </is>
      </c>
      <c r="B23" s="21" t="inlineStr">
        <is>
          <t>Armazém Maia, rotas MTO, receção Itália, dropshipping Espanha</t>
        </is>
      </c>
      <c r="C23" s="22" t="n">
        <v>16</v>
      </c>
      <c r="D23" s="55" t="n">
        <v>2</v>
      </c>
      <c r="E23" s="56" t="n">
        <v>1040</v>
      </c>
    </row>
    <row r="24">
      <c r="A24" s="6" t="inlineStr">
        <is>
          <t>12.Testes + Formação F2</t>
        </is>
      </c>
      <c r="B24" s="6" t="inlineStr">
        <is>
          <t>Testes end-to-end Fase 2, formação, suporte go-live</t>
        </is>
      </c>
      <c r="C24" s="19" t="n">
        <v>8</v>
      </c>
      <c r="D24" s="54" t="n">
        <v>1</v>
      </c>
      <c r="E24" s="50" t="n">
        <v>520</v>
      </c>
    </row>
    <row r="25">
      <c r="A25" t="inlineStr">
        <is>
          <t>13.Gestão de Projeto F2</t>
        </is>
      </c>
      <c r="B25" t="inlineStr">
        <is>
          <t>Acompanhamento Fase 2 (taxa GP)</t>
        </is>
      </c>
      <c r="C25" t="n">
        <v>8</v>
      </c>
      <c r="D25" t="n">
        <v>1</v>
      </c>
      <c r="E25" t="n">
        <v>720</v>
      </c>
    </row>
    <row r="26">
      <c r="A26" s="4" t="inlineStr">
        <is>
          <t>SUBTOTAL FASE 2 (base, indicativo)</t>
        </is>
      </c>
      <c r="B26" s="4" t="n"/>
      <c r="C26" s="25" t="n">
        <v>64</v>
      </c>
      <c r="D26" s="57" t="n">
        <v>8</v>
      </c>
      <c r="E26" s="49" t="n">
        <v>4360</v>
      </c>
    </row>
    <row r="27"/>
    <row r="28">
      <c r="A28" t="inlineStr">
        <is>
          <t>FASE 3 — Expansão (Indicativo [POR VALIDAR] — após go-live Fase 2)</t>
        </is>
      </c>
    </row>
    <row r="29">
      <c r="A29" t="inlineStr">
        <is>
          <t>Fase</t>
        </is>
      </c>
      <c r="B29" t="inlineStr">
        <is>
          <t>Descrição</t>
        </is>
      </c>
      <c r="C29" t="inlineStr">
        <is>
          <t>Horas</t>
        </is>
      </c>
      <c r="D29" t="inlineStr">
        <is>
          <t>Dias</t>
        </is>
      </c>
      <c r="E29" t="inlineStr">
        <is>
          <t>Valor (€)</t>
        </is>
      </c>
    </row>
    <row r="30">
      <c r="A30" t="inlineStr">
        <is>
          <t>14.Manufatura (BoM)</t>
        </is>
      </c>
      <c r="B30" t="inlineStr">
        <is>
          <t>Listas de Materiais, Ordens de Fabrico, controlo componentes</t>
        </is>
      </c>
      <c r="C30" t="n">
        <v>16</v>
      </c>
      <c r="D30" t="n">
        <v>2</v>
      </c>
      <c r="E30" t="n">
        <v>1040</v>
      </c>
    </row>
    <row r="31">
      <c r="A31" t="inlineStr">
        <is>
          <t>15.Multiempresa — Starplast SRLE</t>
        </is>
      </c>
      <c r="B31" t="inlineStr">
        <is>
          <t>Configuração 2.ª empresa, utilizadores partilhados, intercompany</t>
        </is>
      </c>
      <c r="C31" t="n">
        <v>24</v>
      </c>
      <c r="D31" t="n">
        <v>3</v>
      </c>
      <c r="E31" t="n">
        <v>1560</v>
      </c>
    </row>
    <row r="32">
      <c r="A32" t="inlineStr">
        <is>
          <t>16.Contabilidade Analítica</t>
        </is>
      </c>
      <c r="B32" t="inlineStr">
        <is>
          <t>Analítica por projeto / marca (4 marcas) / cliente</t>
        </is>
      </c>
      <c r="C32" t="n">
        <v>16</v>
      </c>
      <c r="D32" t="n">
        <v>2</v>
      </c>
      <c r="E32" t="n">
        <v>1040</v>
      </c>
    </row>
    <row r="33">
      <c r="A33" t="inlineStr">
        <is>
          <t>17.Módulos Adicionais</t>
        </is>
      </c>
      <c r="B33" t="inlineStr">
        <is>
          <t>Sign, Barcode, Documents, Helpdesk — prioridade a definir [POR VALIDAR]</t>
        </is>
      </c>
      <c r="C33" t="n">
        <v>16</v>
      </c>
      <c r="D33" t="n">
        <v>2</v>
      </c>
      <c r="E33" t="n">
        <v>1040</v>
      </c>
    </row>
    <row r="34">
      <c r="A34" t="inlineStr">
        <is>
          <t>SUBTOTAL FASE 3 (base, indicativo)</t>
        </is>
      </c>
      <c r="C34" t="n">
        <v>72</v>
      </c>
      <c r="D34" t="n">
        <v>9</v>
      </c>
      <c r="E34" t="n">
        <v>4680</v>
      </c>
    </row>
    <row r="35"/>
    <row r="36">
      <c r="A36" t="inlineStr">
        <is>
          <t>TOTAL GERAL SERVIÇOS</t>
        </is>
      </c>
      <c r="C36" t="n">
        <v>216</v>
      </c>
      <c r="D36" t="n">
        <v>27</v>
      </c>
      <c r="E36" t="n">
        <v>14440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F35"/>
  <sheetViews>
    <sheetView workbookViewId="0">
      <selection activeCell="A5" sqref="A5"/>
    </sheetView>
  </sheetViews>
  <sheetFormatPr baseColWidth="8" defaultRowHeight="14.4"/>
  <cols>
    <col width="30" customWidth="1" style="41" min="1" max="1"/>
    <col width="42" customWidth="1" style="41" min="2" max="2"/>
    <col width="10" customWidth="1" style="41" min="3" max="3"/>
    <col width="14" customWidth="1" style="41" min="4" max="4"/>
    <col width="12" customWidth="1" style="41" min="5" max="5"/>
    <col width="38" customWidth="1" style="41" min="6" max="6"/>
  </cols>
  <sheetData>
    <row r="1" ht="28.05" customHeight="1" s="41">
      <c r="A1" s="37" t="inlineStr">
        <is>
          <t>Cronograma Indicativo — Implementação Odoo</t>
        </is>
      </c>
      <c r="B1" s="38" t="n"/>
      <c r="C1" s="38" t="n"/>
      <c r="D1" s="38" t="n"/>
      <c r="E1" s="38" t="n"/>
      <c r="F1" s="39" t="n"/>
    </row>
    <row r="2">
      <c r="A2" s="1" t="inlineStr">
        <is>
          <t>Fase</t>
        </is>
      </c>
      <c r="B2" s="1" t="inlineStr">
        <is>
          <t>Descrição</t>
        </is>
      </c>
      <c r="C2" s="1" t="inlineStr">
        <is>
          <t>Dias</t>
        </is>
      </c>
      <c r="D2" s="1" t="inlineStr">
        <is>
          <t>Sem. Início</t>
        </is>
      </c>
      <c r="E2" s="1" t="inlineStr">
        <is>
          <t>Sem. Fim</t>
        </is>
      </c>
      <c r="F2" s="1" t="inlineStr">
        <is>
          <t>Observações</t>
        </is>
      </c>
    </row>
    <row r="3">
      <c r="A3" s="14" t="inlineStr">
        <is>
          <t>01.Gestão de Projeto</t>
        </is>
      </c>
      <c r="B3" s="14" t="inlineStr">
        <is>
          <t>Kick-off e acompanhamento</t>
        </is>
      </c>
      <c r="C3" s="14" t="n">
        <v>1</v>
      </c>
      <c r="D3" s="14" t="n">
        <v>1</v>
      </c>
      <c r="E3" s="14" t="n">
        <v>6</v>
      </c>
      <c r="F3" s="14" t="inlineStr">
        <is>
          <t>Transversal à Fase 1</t>
        </is>
      </c>
    </row>
    <row r="4">
      <c r="A4" s="36" t="inlineStr">
        <is>
          <t>02.Kick-off + Configuração</t>
        </is>
      </c>
      <c r="B4" s="14" t="inlineStr">
        <is>
          <t>Setup empresa e utilizadores</t>
        </is>
      </c>
      <c r="C4" s="14" t="n">
        <v>1.5</v>
      </c>
      <c r="D4" s="14" t="n">
        <v>1</v>
      </c>
      <c r="E4" s="14" t="n">
        <v>1</v>
      </c>
      <c r="F4" s="14" t="n"/>
    </row>
    <row r="5">
      <c r="A5" s="36" t="inlineStr">
        <is>
          <t>03.Contactos e Produtos</t>
        </is>
      </c>
      <c r="B5" s="14" t="inlineStr">
        <is>
          <t>Contactos, produtos, importação</t>
        </is>
      </c>
      <c r="C5" s="14" t="n">
        <v>1</v>
      </c>
      <c r="D5" s="14" t="n">
        <v>2</v>
      </c>
      <c r="E5" s="14" t="n">
        <v>2</v>
      </c>
      <c r="F5" s="14" t="n"/>
    </row>
    <row r="6">
      <c r="A6" s="14" t="inlineStr">
        <is>
          <t>04.Vendas e Faturação</t>
        </is>
      </c>
      <c r="B6" s="14" t="inlineStr">
        <is>
          <t>Orçamentos, faturas, AT</t>
        </is>
      </c>
      <c r="C6" s="14" t="n">
        <v>2</v>
      </c>
      <c r="D6" s="14" t="n">
        <v>2</v>
      </c>
      <c r="E6" s="14" t="n">
        <v>3</v>
      </c>
      <c r="F6" s="14" t="n"/>
    </row>
    <row r="7">
      <c r="A7" s="36" t="inlineStr">
        <is>
          <t>05.Financeiro l10n_pt</t>
        </is>
      </c>
      <c r="B7" s="14" t="inlineStr">
        <is>
          <t>Plano contas, SAF-T, banca</t>
        </is>
      </c>
      <c r="C7" s="14" t="n">
        <v>2</v>
      </c>
      <c r="D7" s="14" t="n">
        <v>3</v>
      </c>
      <c r="E7" s="14" t="n">
        <v>4</v>
      </c>
      <c r="F7" s="14" t="n"/>
    </row>
    <row r="8">
      <c r="A8" s="36" t="inlineStr">
        <is>
          <t>06.Migração PHC GO</t>
        </is>
      </c>
      <c r="B8" s="14" t="inlineStr">
        <is>
          <t>Produtos, clientes, saldos</t>
        </is>
      </c>
      <c r="C8" s="14" t="n">
        <v>2</v>
      </c>
      <c r="D8" s="14" t="n">
        <v>4</v>
      </c>
      <c r="E8" s="14" t="n">
        <v>5</v>
      </c>
      <c r="F8" s="14" t="inlineStr">
        <is>
          <t>Cliente fornece dados em Excel limpo</t>
        </is>
      </c>
    </row>
    <row r="9">
      <c r="A9" s="14" t="inlineStr">
        <is>
          <t>07.Testes + Formação + Arranque</t>
        </is>
      </c>
      <c r="B9" s="14" t="inlineStr">
        <is>
          <t>Testes, formação, go-live</t>
        </is>
      </c>
      <c r="C9" s="14" t="n">
        <v>0.5</v>
      </c>
      <c r="D9" s="14" t="n">
        <v>5</v>
      </c>
      <c r="E9" s="14" t="n">
        <v>6</v>
      </c>
      <c r="F9" s="14" t="n"/>
    </row>
    <row r="10">
      <c r="A10" s="36" t="n"/>
      <c r="B10" s="14" t="n"/>
      <c r="C10" s="14" t="n"/>
      <c r="D10" s="14" t="n"/>
      <c r="E10" s="14" t="n"/>
      <c r="F10" s="14" t="n"/>
    </row>
    <row r="11">
      <c r="A11" s="36" t="n"/>
      <c r="B11" s="14" t="n"/>
      <c r="C11" s="14" t="n"/>
      <c r="D11" s="14" t="n"/>
      <c r="E11" s="14" t="n"/>
      <c r="F11" s="14" t="n"/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4" t="n"/>
      <c r="B14" s="14" t="n"/>
      <c r="C14" s="14" t="n"/>
      <c r="D14" s="14" t="n"/>
      <c r="E14" s="14" t="n"/>
      <c r="F14" s="14" t="n"/>
    </row>
    <row r="15">
      <c r="A15" s="6" t="inlineStr">
        <is>
          <t>FASE 1 TOTAL</t>
        </is>
      </c>
      <c r="B15" s="6" t="n"/>
      <c r="C15" s="6" t="n">
        <v>10</v>
      </c>
      <c r="D15" s="6" t="n"/>
      <c r="E15" s="6" t="n"/>
      <c r="F15" s="6" t="n"/>
    </row>
    <row r="16">
      <c r="A16" s="27" t="n"/>
      <c r="B16" s="27" t="n"/>
      <c r="C16" s="27" t="n"/>
      <c r="D16" s="27" t="n"/>
      <c r="E16" s="27" t="n"/>
      <c r="F16" s="27" t="n"/>
    </row>
    <row r="17">
      <c r="A17" s="42" t="inlineStr">
        <is>
          <t>FASE 2 — Operação Comercial (Indicativo — após go-live Fase 1)</t>
        </is>
      </c>
    </row>
    <row r="18">
      <c r="A18" s="21" t="inlineStr">
        <is>
          <t>08.CRM</t>
        </is>
      </c>
      <c r="B18" s="21" t="inlineStr">
        <is>
          <t>Pipeline e dashboards</t>
        </is>
      </c>
      <c r="C18" s="21" t="n">
        <v>1</v>
      </c>
      <c r="D18" s="21" t="n">
        <v>1</v>
      </c>
      <c r="E18" s="21" t="n">
        <v>1</v>
      </c>
      <c r="F18" s="21" t="n"/>
    </row>
    <row r="19">
      <c r="A19" s="21" t="inlineStr">
        <is>
          <t>09.Migração Pipedrive</t>
        </is>
      </c>
      <c r="B19" s="21" t="inlineStr">
        <is>
          <t>Histórico CRM Pipedrive → Odoo</t>
        </is>
      </c>
      <c r="C19" s="21" t="n">
        <v>2</v>
      </c>
      <c r="D19" s="21" t="n">
        <v>1</v>
      </c>
      <c r="E19" s="21" t="n">
        <v>2</v>
      </c>
      <c r="F19" s="21" t="inlineStr">
        <is>
          <t>[POR VALIDAR]</t>
        </is>
      </c>
    </row>
    <row r="20">
      <c r="A20" s="21" t="inlineStr">
        <is>
          <t>10.Compras</t>
        </is>
      </c>
      <c r="B20" s="21" t="inlineStr">
        <is>
          <t>Compras e fornecedores</t>
        </is>
      </c>
      <c r="C20" s="21" t="n">
        <v>1</v>
      </c>
      <c r="D20" s="21" t="n">
        <v>2</v>
      </c>
      <c r="E20" s="21" t="n">
        <v>2</v>
      </c>
      <c r="F20" s="21" t="n"/>
    </row>
    <row r="21">
      <c r="A21" s="21" t="inlineStr">
        <is>
          <t>11.Inventário e Logística</t>
        </is>
      </c>
      <c r="B21" s="21" t="inlineStr">
        <is>
          <t>Armazém e rotas</t>
        </is>
      </c>
      <c r="C21" s="21" t="n">
        <v>2</v>
      </c>
      <c r="D21" s="21" t="n">
        <v>3</v>
      </c>
      <c r="E21" s="21" t="n">
        <v>4</v>
      </c>
      <c r="F21" s="21" t="n"/>
    </row>
    <row r="22">
      <c r="A22" s="6" t="inlineStr">
        <is>
          <t>12.Testes + Formação F2</t>
        </is>
      </c>
      <c r="B22" s="6" t="inlineStr">
        <is>
          <t>Testes e go-live Fase 2</t>
        </is>
      </c>
      <c r="C22" s="6" t="n">
        <v>1</v>
      </c>
      <c r="D22" s="6" t="n">
        <v>4</v>
      </c>
      <c r="E22" s="6" t="n">
        <v>5</v>
      </c>
      <c r="F22" s="6" t="n"/>
    </row>
    <row r="23">
      <c r="A23" t="inlineStr">
        <is>
          <t>13.Gestão Projeto F2</t>
        </is>
      </c>
      <c r="B23" t="inlineStr">
        <is>
          <t>Acompanhamento Fase 2</t>
        </is>
      </c>
      <c r="C23" t="n">
        <v>1</v>
      </c>
      <c r="D23" t="n">
        <v>1</v>
      </c>
      <c r="E23" t="n">
        <v>5</v>
      </c>
      <c r="F23" t="inlineStr">
        <is>
          <t>Transversal</t>
        </is>
      </c>
    </row>
    <row r="24">
      <c r="A24" t="inlineStr">
        <is>
          <t>FASE 2 TOTAL (indicativo)</t>
        </is>
      </c>
      <c r="C24" t="n">
        <v>8</v>
      </c>
    </row>
    <row r="25"/>
    <row r="26">
      <c r="A26" t="inlineStr">
        <is>
          <t>FASE 3 — Expansão (Indicativo [POR VALIDAR] — após go-live Fase 2)</t>
        </is>
      </c>
    </row>
    <row r="27">
      <c r="A27" t="inlineStr">
        <is>
          <t>14.Manufatura (BoM)</t>
        </is>
      </c>
      <c r="B27" t="inlineStr">
        <is>
          <t>Listas materiais e fabrico</t>
        </is>
      </c>
      <c r="C27" t="n">
        <v>2</v>
      </c>
      <c r="D27" t="n">
        <v>1</v>
      </c>
      <c r="E27" t="n">
        <v>2</v>
      </c>
      <c r="F27" t="inlineStr">
        <is>
          <t>[POR VALIDAR]</t>
        </is>
      </c>
    </row>
    <row r="28">
      <c r="A28" t="inlineStr">
        <is>
          <t>15.Multiempresa — Starplast SRLE</t>
        </is>
      </c>
      <c r="B28" t="inlineStr">
        <is>
          <t>2.ª empresa, intercompany</t>
        </is>
      </c>
      <c r="C28" t="n">
        <v>3</v>
      </c>
      <c r="D28" t="n">
        <v>2</v>
      </c>
      <c r="E28" t="n">
        <v>4</v>
      </c>
      <c r="F28" t="inlineStr">
        <is>
          <t>[POR VALIDAR]</t>
        </is>
      </c>
    </row>
    <row r="29">
      <c r="A29" t="inlineStr">
        <is>
          <t>16.Contabilidade Analítica</t>
        </is>
      </c>
      <c r="B29" t="inlineStr">
        <is>
          <t>Analítica por projeto/marca</t>
        </is>
      </c>
      <c r="C29" t="n">
        <v>2</v>
      </c>
      <c r="D29" t="n">
        <v>4</v>
      </c>
      <c r="E29" t="n">
        <v>5</v>
      </c>
    </row>
    <row r="30">
      <c r="A30" t="inlineStr">
        <is>
          <t>17.Módulos Adicionais</t>
        </is>
      </c>
      <c r="B30" t="inlineStr">
        <is>
          <t>Sign, Barcode, Helpdesk — a def.</t>
        </is>
      </c>
      <c r="C30" t="n">
        <v>2</v>
      </c>
      <c r="D30" t="n">
        <v>5</v>
      </c>
      <c r="E30" t="n">
        <v>6</v>
      </c>
      <c r="F30" t="inlineStr">
        <is>
          <t>[POR VALIDAR] — a definir</t>
        </is>
      </c>
    </row>
    <row r="31">
      <c r="A31" t="inlineStr">
        <is>
          <t>FASE 3 TOTAL (indicativo)</t>
        </is>
      </c>
      <c r="C31" t="n">
        <v>9</v>
      </c>
    </row>
    <row r="32"/>
    <row r="33"/>
    <row r="34"/>
    <row r="35"/>
  </sheetData>
  <mergeCells count="2"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C12"/>
  <sheetViews>
    <sheetView workbookViewId="0">
      <selection activeCell="A1" sqref="A1:C1"/>
    </sheetView>
  </sheetViews>
  <sheetFormatPr baseColWidth="8" defaultRowHeight="14.4"/>
  <cols>
    <col width="32" customWidth="1" style="41" min="1" max="1"/>
    <col width="18" customWidth="1" style="41" min="2" max="2"/>
    <col width="42" customWidth="1" style="41" min="3" max="3"/>
  </cols>
  <sheetData>
    <row r="1" ht="28.05" customHeight="1" s="41">
      <c r="A1" s="37" t="inlineStr">
        <is>
          <t>CONFIGURAÇÃO — Parâmetros Editáveis</t>
        </is>
      </c>
      <c r="B1" s="38" t="n"/>
      <c r="C1" s="39" t="n"/>
    </row>
    <row r="3">
      <c r="A3" s="1" t="inlineStr">
        <is>
          <t>Parâmetro</t>
        </is>
      </c>
      <c r="B3" s="1" t="inlineStr">
        <is>
          <t>Valor</t>
        </is>
      </c>
      <c r="C3" s="1" t="inlineStr">
        <is>
          <t>Descrição</t>
        </is>
      </c>
    </row>
    <row r="4">
      <c r="A4" s="28" t="inlineStr">
        <is>
          <t>Taxa Consultor (€/h)</t>
        </is>
      </c>
      <c r="B4" s="29" t="n">
        <v>65</v>
      </c>
      <c r="C4" s="30" t="inlineStr">
        <is>
          <t>CS_Consultor — taxa horária base</t>
        </is>
      </c>
    </row>
    <row r="5">
      <c r="A5" s="28" t="inlineStr">
        <is>
          <t>Taxa Gestor de Projeto (€/h)</t>
        </is>
      </c>
      <c r="B5" s="29" t="n">
        <v>90</v>
      </c>
      <c r="C5" s="30" t="inlineStr">
        <is>
          <t>CS_Gestor — taxa horária base</t>
        </is>
      </c>
    </row>
    <row r="6">
      <c r="A6" s="28" t="inlineStr">
        <is>
          <t>Horas por Dia</t>
        </is>
      </c>
      <c r="B6" s="29" t="n">
        <v>8</v>
      </c>
      <c r="C6" s="30" t="inlineStr">
        <is>
          <t>Horas úteis por dia de trabalho</t>
        </is>
      </c>
    </row>
    <row r="7">
      <c r="A7" s="28" t="inlineStr">
        <is>
          <t>N.º Utilizadores Odoo</t>
        </is>
      </c>
      <c r="B7" s="29" t="n">
        <v>5</v>
      </c>
      <c r="C7" s="30" t="inlineStr">
        <is>
          <t>Utilizadores ativos na licença</t>
        </is>
      </c>
    </row>
    <row r="8">
      <c r="A8" s="28" t="inlineStr">
        <is>
          <t>Desconto 1.º Ano Odoo (%)</t>
        </is>
      </c>
      <c r="B8" s="31" t="inlineStr">
        <is>
          <t>25/05/2026</t>
        </is>
      </c>
      <c r="C8" s="30" t="inlineStr">
        <is>
          <t>Desconto aplicado no 1.º ano de licença</t>
        </is>
      </c>
    </row>
    <row r="9">
      <c r="A9" s="28" t="inlineStr">
        <is>
          <t>Data da Proposta</t>
        </is>
      </c>
      <c r="B9" s="29" t="inlineStr">
        <is>
          <t>20/05/2026</t>
        </is>
      </c>
      <c r="C9" s="30" t="inlineStr">
        <is>
          <t>Data de emissão do orçamento</t>
        </is>
      </c>
    </row>
    <row r="10">
      <c r="A10" s="28" t="inlineStr">
        <is>
          <t>Válido até</t>
        </is>
      </c>
      <c r="B10" s="29" t="inlineStr">
        <is>
          <t>20/06/2026</t>
        </is>
      </c>
      <c r="C10" s="30" t="inlineStr">
        <is>
          <t>Prazo de validade da proposta</t>
        </is>
      </c>
    </row>
    <row r="11">
      <c r="A11" s="28" t="inlineStr">
        <is>
          <t>IVA (%)</t>
        </is>
      </c>
      <c r="B11" s="31" t="n">
        <v>0.23</v>
      </c>
      <c r="C11" s="30" t="inlineStr">
        <is>
          <t>Taxa de IVA aplicável</t>
        </is>
      </c>
    </row>
    <row r="12">
      <c r="A12" s="28" t="inlineStr">
        <is>
          <t>Apoio Após Venda (€/ano)</t>
        </is>
      </c>
      <c r="B12" s="58" t="n">
        <v>2400</v>
      </c>
      <c r="C12" s="30" t="inlineStr">
        <is>
          <t>Valor anual do contrato de suporte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K27"/>
  <sheetViews>
    <sheetView zoomScale="70" zoomScaleNormal="70" workbookViewId="0">
      <pane ySplit="1" topLeftCell="A8" activePane="bottomLeft" state="frozen"/>
      <selection pane="bottomLeft" activeCell="I19" sqref="I19"/>
    </sheetView>
  </sheetViews>
  <sheetFormatPr baseColWidth="8" defaultRowHeight="14.4"/>
  <cols>
    <col width="25" customWidth="1" style="41" min="1" max="1"/>
    <col width="28" customWidth="1" style="41" min="2" max="2"/>
    <col width="55" customWidth="1" style="41" min="3" max="3"/>
    <col width="22" customWidth="1" style="41" min="4" max="4"/>
    <col width="18" customWidth="1" style="41" min="5" max="5"/>
    <col width="12" customWidth="1" style="41" min="6" max="6"/>
    <col width="10" customWidth="1" style="41" min="7" max="8"/>
    <col width="14" customWidth="1" style="41" min="9" max="10"/>
    <col width="40" customWidth="1" style="41" min="11" max="11"/>
  </cols>
  <sheetData>
    <row r="1" ht="28.05" customHeight="1" s="41">
      <c r="A1" s="1" t="inlineStr">
        <is>
          <t>Empresa</t>
        </is>
      </c>
      <c r="B1" s="1" t="inlineStr">
        <is>
          <t>Fase</t>
        </is>
      </c>
      <c r="C1" s="1" t="inlineStr">
        <is>
          <t>Descrição</t>
        </is>
      </c>
      <c r="D1" s="1" t="inlineStr">
        <is>
          <t>Tipo</t>
        </is>
      </c>
      <c r="E1" s="1" t="inlineStr">
        <is>
          <t>Perfil</t>
        </is>
      </c>
      <c r="F1" s="1" t="inlineStr">
        <is>
          <t>Taxa (€/h)</t>
        </is>
      </c>
      <c r="G1" s="1" t="inlineStr">
        <is>
          <t>Horas</t>
        </is>
      </c>
      <c r="H1" s="1" t="inlineStr">
        <is>
          <t>Dias</t>
        </is>
      </c>
      <c r="I1" s="1" t="inlineStr">
        <is>
          <t>Valor (€)</t>
        </is>
      </c>
      <c r="J1" s="1" t="inlineStr">
        <is>
          <t>Por Validar</t>
        </is>
      </c>
      <c r="K1" s="1" t="inlineStr">
        <is>
          <t>Notas</t>
        </is>
      </c>
    </row>
    <row r="2" ht="42" customHeight="1" s="41">
      <c r="A2" s="14" t="inlineStr">
        <is>
          <t>Virgin Details, Lda</t>
        </is>
      </c>
      <c r="B2" s="14" t="inlineStr">
        <is>
          <t>01.Gestão de Projeto</t>
        </is>
      </c>
      <c r="C2" s="2" t="inlineStr">
        <is>
          <t>Kick-off interno e cliente; reuniões quinzenais; reporting; encerramento de fase</t>
        </is>
      </c>
      <c r="D2" s="14" t="inlineStr">
        <is>
          <t>Gestão de Projeto</t>
        </is>
      </c>
      <c r="E2" s="14" t="inlineStr">
        <is>
          <t>CS_Gestor</t>
        </is>
      </c>
      <c r="F2" s="53" t="n">
        <v>90</v>
      </c>
      <c r="G2" s="14" t="n">
        <v>8</v>
      </c>
      <c r="H2" s="52" t="n">
        <v>1</v>
      </c>
      <c r="I2" s="53" t="n">
        <v>720</v>
      </c>
      <c r="J2" s="14" t="n"/>
      <c r="K2" s="14" t="n"/>
    </row>
    <row r="3" ht="42" customHeight="1" s="41">
      <c r="A3" s="14" t="inlineStr">
        <is>
          <t>Virgin Details, Lda</t>
        </is>
      </c>
      <c r="B3" s="14" t="inlineStr">
        <is>
          <t>02.Kick-off + Configuração</t>
        </is>
      </c>
      <c r="C3" s="2" t="inlineStr">
        <is>
          <t>Setup empresa; 5 utilizadores; grupos de acesso; e-mail; templates</t>
        </is>
      </c>
      <c r="D3" s="14" t="inlineStr">
        <is>
          <t>Parametrização</t>
        </is>
      </c>
      <c r="E3" s="14" t="inlineStr">
        <is>
          <t>CS_Consultor</t>
        </is>
      </c>
      <c r="F3" s="53" t="n">
        <v>65</v>
      </c>
      <c r="G3" s="14" t="n">
        <v>12</v>
      </c>
      <c r="H3" s="52" t="n">
        <v>1.5</v>
      </c>
      <c r="I3" s="53" t="n">
        <v>780</v>
      </c>
      <c r="J3" s="14" t="n"/>
      <c r="K3" s="14" t="n"/>
    </row>
    <row r="4" ht="42" customHeight="1" s="41">
      <c r="A4" s="14" t="inlineStr">
        <is>
          <t>Virgin Details, Lda</t>
        </is>
      </c>
      <c r="B4" s="14" t="inlineStr">
        <is>
          <t>03.Contactos e Produtos</t>
        </is>
      </c>
      <c r="C4" s="2" t="inlineStr">
        <is>
          <t>Clientes, fornecedores; produtos e serviços; importação de PHC GO e Excel</t>
        </is>
      </c>
      <c r="D4" s="14" t="inlineStr">
        <is>
          <t>Parametrização</t>
        </is>
      </c>
      <c r="E4" s="14" t="inlineStr">
        <is>
          <t>CS_Consultor</t>
        </is>
      </c>
      <c r="F4" s="53" t="n">
        <v>65</v>
      </c>
      <c r="G4" s="14" t="n">
        <v>8</v>
      </c>
      <c r="H4" s="52" t="n">
        <v>1</v>
      </c>
      <c r="I4" s="53" t="n">
        <v>520</v>
      </c>
      <c r="J4" s="14" t="n"/>
      <c r="K4" s="14" t="inlineStr">
        <is>
          <t>Importação a partir de PHC GO</t>
        </is>
      </c>
    </row>
    <row r="5" ht="42" customHeight="1" s="41">
      <c r="A5" s="14" t="inlineStr">
        <is>
          <t>Virgin Details, Lda</t>
        </is>
      </c>
      <c r="B5" s="14" t="inlineStr">
        <is>
          <t>04.Vendas e Faturação</t>
        </is>
      </c>
      <c r="C5" s="2" t="inlineStr">
        <is>
          <t>Templates orçamento; encomendas de venda; faturas; notas de crédito; faturação certificada AT</t>
        </is>
      </c>
      <c r="D5" s="14" t="inlineStr">
        <is>
          <t>Parametrização</t>
        </is>
      </c>
      <c r="E5" s="14" t="inlineStr">
        <is>
          <t>CS_Consultor</t>
        </is>
      </c>
      <c r="F5" s="53" t="n">
        <v>65</v>
      </c>
      <c r="G5" s="14" t="n">
        <v>16</v>
      </c>
      <c r="H5" s="52" t="n">
        <v>2</v>
      </c>
      <c r="I5" s="53" t="n">
        <v>1040</v>
      </c>
      <c r="J5" s="14" t="n"/>
      <c r="K5" s="14" t="n"/>
    </row>
    <row r="6" ht="42" customHeight="1" s="41">
      <c r="A6" s="14" t="inlineStr">
        <is>
          <t>Virgin Details, Lda</t>
        </is>
      </c>
      <c r="B6" s="14" t="inlineStr">
        <is>
          <t>05.Financeiro l10n_pt</t>
        </is>
      </c>
      <c r="C6" s="2" t="inlineStr">
        <is>
          <t>Plano de contas PT; grupos IVA; SAF-T; plugin certificação AT; condições pagamento; adiantamentos; banca</t>
        </is>
      </c>
      <c r="D6" s="14" t="inlineStr">
        <is>
          <t>Parametrização</t>
        </is>
      </c>
      <c r="E6" s="14" t="inlineStr">
        <is>
          <t>CS_Consultor</t>
        </is>
      </c>
      <c r="F6" s="53" t="n">
        <v>65</v>
      </c>
      <c r="G6" s="14" t="n">
        <v>16</v>
      </c>
      <c r="H6" s="52" t="n">
        <v>2</v>
      </c>
      <c r="I6" s="53" t="n">
        <v>1040</v>
      </c>
      <c r="J6" s="14" t="n"/>
      <c r="K6" s="14" t="inlineStr">
        <is>
          <t>Plugin AT licenciado separadamente — confirmar antes do kick-off</t>
        </is>
      </c>
    </row>
    <row r="7" ht="42" customHeight="1" s="41">
      <c r="A7" s="14" t="inlineStr">
        <is>
          <t>Virgin Details, Lda</t>
        </is>
      </c>
      <c r="B7" s="14" t="inlineStr">
        <is>
          <t>06.Migração PHC GO</t>
        </is>
      </c>
      <c r="C7" s="2" t="inlineStr">
        <is>
          <t>Importação catálogo produtos; clientes e fornecedores; saldos em aberto de PHC GO</t>
        </is>
      </c>
      <c r="D7" s="14" t="inlineStr">
        <is>
          <t>Migração</t>
        </is>
      </c>
      <c r="E7" s="14" t="inlineStr">
        <is>
          <t>CS_Consultor</t>
        </is>
      </c>
      <c r="F7" s="53" t="n">
        <v>65</v>
      </c>
      <c r="G7" s="14" t="n">
        <v>16</v>
      </c>
      <c r="H7" s="52" t="n">
        <v>2</v>
      </c>
      <c r="I7" s="53" t="n">
        <v>1040</v>
      </c>
      <c r="J7" s="14" t="n"/>
      <c r="K7" s="14" t="inlineStr">
        <is>
          <t>Cliente fornece dados em Excel limpo</t>
        </is>
      </c>
    </row>
    <row r="8" ht="42" customHeight="1" s="41">
      <c r="A8" s="14" t="inlineStr">
        <is>
          <t>Virgin Details, Lda</t>
        </is>
      </c>
      <c r="B8" s="14" t="inlineStr">
        <is>
          <t>07.Testes + Formação + Arranque</t>
        </is>
      </c>
      <c r="C8" s="2" t="inlineStr">
        <is>
          <t>Testes faturação end-to-end; formação 5 utilizadores; suporte go-live; documentação</t>
        </is>
      </c>
      <c r="D8" s="14" t="inlineStr">
        <is>
          <t>Formação</t>
        </is>
      </c>
      <c r="E8" s="14" t="inlineStr">
        <is>
          <t>CS_Consultor</t>
        </is>
      </c>
      <c r="F8" s="53" t="n">
        <v>65</v>
      </c>
      <c r="G8" s="14" t="n">
        <v>4</v>
      </c>
      <c r="H8" s="52" t="n">
        <v>0.5</v>
      </c>
      <c r="I8" s="53" t="n">
        <v>260</v>
      </c>
      <c r="J8" s="14" t="n"/>
      <c r="K8" s="14" t="n"/>
    </row>
    <row r="9" ht="42" customHeight="1" s="41">
      <c r="A9" s="14" t="inlineStr">
        <is>
          <t>Virgin Details, Lda</t>
        </is>
      </c>
      <c r="B9" s="14" t="inlineStr">
        <is>
          <t>SUBTOTAL — Fase 1 (Faturação)</t>
        </is>
      </c>
      <c r="C9" s="2" t="n"/>
      <c r="D9" s="14" t="n"/>
      <c r="E9" s="14" t="n"/>
      <c r="F9" s="53" t="n"/>
      <c r="G9" s="14" t="n">
        <v>80</v>
      </c>
      <c r="H9" s="52" t="n">
        <v>10</v>
      </c>
      <c r="I9" s="53" t="n">
        <v>5400</v>
      </c>
      <c r="J9" s="14" t="n"/>
      <c r="K9" s="14" t="n"/>
    </row>
    <row r="10" ht="42" customHeight="1" s="41">
      <c r="A10" s="14" t="inlineStr">
        <is>
          <t>Virgin Details, Lda</t>
        </is>
      </c>
      <c r="B10" s="14" t="inlineStr">
        <is>
          <t>08.CRM</t>
        </is>
      </c>
      <c r="C10" s="2" t="inlineStr">
        <is>
          <t>Pipeline; fases e probabilidades; templates e-mail por fase; atividades; dashboards</t>
        </is>
      </c>
      <c r="D10" s="14" t="inlineStr">
        <is>
          <t>Parametrização</t>
        </is>
      </c>
      <c r="E10" s="14" t="inlineStr">
        <is>
          <t>CS_Consultor</t>
        </is>
      </c>
      <c r="F10" s="53" t="n">
        <v>65</v>
      </c>
      <c r="G10" s="14" t="n">
        <v>8</v>
      </c>
      <c r="H10" s="52" t="n">
        <v>1</v>
      </c>
      <c r="I10" s="53" t="n">
        <v>520</v>
      </c>
      <c r="J10" s="14" t="n"/>
      <c r="K10" s="14" t="n"/>
    </row>
    <row r="11" ht="42" customHeight="1" s="41">
      <c r="A11" s="14" t="inlineStr">
        <is>
          <t>Virgin Details, Lda</t>
        </is>
      </c>
      <c r="B11" s="14" t="inlineStr">
        <is>
          <t>09.Migração Pipedrive</t>
        </is>
      </c>
      <c r="C11" s="2" t="inlineStr">
        <is>
          <t>Exportação, mapeamento e importação de contactos e histórico CRM do Pipedrive para Odoo</t>
        </is>
      </c>
      <c r="D11" s="14" t="inlineStr">
        <is>
          <t>Migração</t>
        </is>
      </c>
      <c r="E11" s="14" t="inlineStr">
        <is>
          <t>CS_Consultor</t>
        </is>
      </c>
      <c r="F11" s="53" t="n">
        <v>65</v>
      </c>
      <c r="G11" s="14" t="n">
        <v>16</v>
      </c>
      <c r="H11" s="52" t="n">
        <v>2</v>
      </c>
      <c r="I11" s="53" t="n">
        <v>1040</v>
      </c>
      <c r="J11" s="29" t="inlineStr">
        <is>
          <t>SIM</t>
        </is>
      </c>
      <c r="K11" s="14" t="inlineStr">
        <is>
          <t>Esforço depende do volume e qualidade dos dados Pipedrive</t>
        </is>
      </c>
    </row>
    <row r="12" ht="42" customHeight="1" s="41">
      <c r="A12" s="14" t="inlineStr">
        <is>
          <t>Virgin Details, Lda</t>
        </is>
      </c>
      <c r="B12" s="14" t="inlineStr">
        <is>
          <t>10.Compras</t>
        </is>
      </c>
      <c r="C12" s="2" t="inlineStr">
        <is>
          <t>Fornecedores europeus (4 marcas); preços custo; lead times; regras MTO; encomenda automática</t>
        </is>
      </c>
      <c r="D12" s="14" t="inlineStr">
        <is>
          <t>Parametrização</t>
        </is>
      </c>
      <c r="E12" s="14" t="inlineStr">
        <is>
          <t>CS_Consultor</t>
        </is>
      </c>
      <c r="F12" s="53" t="n">
        <v>65</v>
      </c>
      <c r="G12" s="14" t="n">
        <v>8</v>
      </c>
      <c r="H12" s="52" t="n">
        <v>1</v>
      </c>
      <c r="I12" s="53" t="n">
        <v>520</v>
      </c>
      <c r="J12" s="14" t="n"/>
      <c r="K12" s="14" t="n"/>
    </row>
    <row r="13" ht="42" customHeight="1" s="41">
      <c r="A13" s="14" t="inlineStr">
        <is>
          <t>Virgin Details, Lda</t>
        </is>
      </c>
      <c r="B13" s="14" t="inlineStr">
        <is>
          <t>11.Inventário e Logística</t>
        </is>
      </c>
      <c r="C13" s="2" t="inlineStr">
        <is>
          <t>Armazém Maia PT; rotas MTO+Comprar; receção Itália (Starplast/Sunerg); dropshipping Espanha</t>
        </is>
      </c>
      <c r="D13" s="14" t="inlineStr">
        <is>
          <t>Parametrização</t>
        </is>
      </c>
      <c r="E13" s="14" t="inlineStr">
        <is>
          <t>CS_Consultor</t>
        </is>
      </c>
      <c r="F13" s="53" t="n">
        <v>65</v>
      </c>
      <c r="G13" s="14" t="n">
        <v>16</v>
      </c>
      <c r="H13" s="52" t="n">
        <v>2</v>
      </c>
      <c r="I13" s="53" t="n">
        <v>1040</v>
      </c>
      <c r="J13" s="14" t="n"/>
      <c r="K13" s="14" t="n"/>
    </row>
    <row r="14" ht="42" customHeight="1" s="41">
      <c r="A14" s="21" t="inlineStr">
        <is>
          <t>Virgin Details, Lda</t>
        </is>
      </c>
      <c r="B14" s="21" t="inlineStr">
        <is>
          <t>12.Testes + Formação Fase 2</t>
        </is>
      </c>
      <c r="C14" s="33" t="inlineStr">
        <is>
          <t>Testes end-to-end Fase 2; formação por perfil; suporte go-live</t>
        </is>
      </c>
      <c r="D14" s="21" t="inlineStr">
        <is>
          <t>Formação</t>
        </is>
      </c>
      <c r="E14" s="21" t="inlineStr">
        <is>
          <t>CS_Consultor</t>
        </is>
      </c>
      <c r="F14" s="56" t="n">
        <v>65</v>
      </c>
      <c r="G14" s="21" t="n">
        <v>8</v>
      </c>
      <c r="H14" s="55" t="n">
        <v>1</v>
      </c>
      <c r="I14" s="56" t="n">
        <v>520</v>
      </c>
      <c r="J14" s="29" t="n"/>
      <c r="K14" s="21" t="n"/>
    </row>
    <row r="15" ht="42" customHeight="1" s="41">
      <c r="A15" s="21" t="inlineStr">
        <is>
          <t>Virgin Details, Lda</t>
        </is>
      </c>
      <c r="B15" s="21" t="inlineStr">
        <is>
          <t>13.Gestão de Projeto Fase 2</t>
        </is>
      </c>
      <c r="C15" s="33" t="inlineStr">
        <is>
          <t>Acompanhamento Fase 2 (taxa GP)</t>
        </is>
      </c>
      <c r="D15" s="21" t="inlineStr">
        <is>
          <t>Gestão de Projeto</t>
        </is>
      </c>
      <c r="E15" s="21" t="inlineStr">
        <is>
          <t>CS_Gestor</t>
        </is>
      </c>
      <c r="F15" s="56" t="n">
        <v>90</v>
      </c>
      <c r="G15" s="21" t="n">
        <v>8</v>
      </c>
      <c r="H15" s="55" t="n">
        <v>1</v>
      </c>
      <c r="I15" s="56" t="n">
        <v>720</v>
      </c>
      <c r="J15" s="29" t="n"/>
      <c r="K15" s="21" t="n"/>
    </row>
    <row r="16" ht="42" customHeight="1" s="41">
      <c r="A16" s="21" t="inlineStr">
        <is>
          <t>Virgin Details, Lda</t>
        </is>
      </c>
      <c r="B16" s="21" t="inlineStr">
        <is>
          <t>SUBTOTAL — Fase 2 (Operação Comercial)</t>
        </is>
      </c>
      <c r="C16" s="33" t="n"/>
      <c r="D16" s="21" t="n"/>
      <c r="E16" s="21" t="n"/>
      <c r="F16" s="56" t="n"/>
      <c r="G16" s="21" t="n">
        <v>64</v>
      </c>
      <c r="H16" s="55" t="n">
        <v>8</v>
      </c>
      <c r="I16" s="56" t="n">
        <v>4360</v>
      </c>
      <c r="J16" s="29" t="n"/>
      <c r="K16" s="21" t="n"/>
    </row>
    <row r="17">
      <c r="A17" s="27" t="inlineStr">
        <is>
          <t>Expansão (Fase 3)</t>
        </is>
      </c>
      <c r="B17" s="27" t="inlineStr">
        <is>
          <t>14.Manufatura (BoM)</t>
        </is>
      </c>
      <c r="C17" s="27" t="inlineStr">
        <is>
          <t>Listas de Materiais; Ordens de Fabrico; controlo componentes; custo produto final</t>
        </is>
      </c>
      <c r="D17" s="27" t="inlineStr">
        <is>
          <t>Parametrização</t>
        </is>
      </c>
      <c r="E17" s="27" t="inlineStr">
        <is>
          <t>CS_Consultor</t>
        </is>
      </c>
      <c r="F17" s="27" t="n">
        <v>65</v>
      </c>
      <c r="G17" s="27" t="n">
        <v>16</v>
      </c>
      <c r="H17" s="27" t="n">
        <v>2</v>
      </c>
      <c r="I17" s="27" t="n">
        <v>1040</v>
      </c>
      <c r="J17" s="27" t="inlineStr">
        <is>
          <t>SIM</t>
        </is>
      </c>
      <c r="K17" s="27" t="inlineStr">
        <is>
          <t>Âmbito depende de levantamento dos kits mais frequentes</t>
        </is>
      </c>
    </row>
    <row r="18">
      <c r="A18" s="6" t="inlineStr">
        <is>
          <t>Expansão (Fase 3)</t>
        </is>
      </c>
      <c r="B18" s="6" t="inlineStr">
        <is>
          <t>15.Multiempresa — Starplast SRLE</t>
        </is>
      </c>
      <c r="C18" s="6" t="inlineStr">
        <is>
          <t>Configuração 2.ª empresa do grupo; utilizadores partilhados; transações intercompany</t>
        </is>
      </c>
      <c r="D18" s="6" t="inlineStr">
        <is>
          <t>Parametrização</t>
        </is>
      </c>
      <c r="E18" s="6" t="inlineStr">
        <is>
          <t>CS_Consultor</t>
        </is>
      </c>
      <c r="F18" s="6" t="n">
        <v>65</v>
      </c>
      <c r="G18" s="6" t="n">
        <v>24</v>
      </c>
      <c r="H18" s="54" t="n">
        <v>3</v>
      </c>
      <c r="I18" s="50" t="n">
        <v>1560</v>
      </c>
      <c r="J18" s="6" t="inlineStr">
        <is>
          <t>SIM</t>
        </is>
      </c>
      <c r="K18" s="6" t="inlineStr">
        <is>
          <t>Depende de confirmação estrutura legal Starplast SRLE</t>
        </is>
      </c>
    </row>
    <row r="19">
      <c r="A19" s="6" t="inlineStr">
        <is>
          <t>Expansão (Fase 3)</t>
        </is>
      </c>
      <c r="B19" s="6" t="inlineStr">
        <is>
          <t>16.Contabilidade Analítica</t>
        </is>
      </c>
      <c r="C19" s="6" t="inlineStr">
        <is>
          <t>Analítica por projeto / marca (4 marcas) / cliente</t>
        </is>
      </c>
      <c r="D19" s="6" t="inlineStr">
        <is>
          <t>Parametrização</t>
        </is>
      </c>
      <c r="E19" s="6" t="inlineStr">
        <is>
          <t>CS_Consultor</t>
        </is>
      </c>
      <c r="F19" s="6" t="n">
        <v>65</v>
      </c>
      <c r="G19" s="6" t="n">
        <v>16</v>
      </c>
      <c r="H19" s="54" t="n">
        <v>2</v>
      </c>
      <c r="I19" s="50" t="n">
        <v>1040</v>
      </c>
      <c r="J19" s="6" t="inlineStr">
        <is>
          <t>SIM</t>
        </is>
      </c>
      <c r="K19" s="6" t="n"/>
    </row>
    <row r="20">
      <c r="A20" s="4" t="inlineStr">
        <is>
          <t>Expansão (Fase 3)</t>
        </is>
      </c>
      <c r="B20" s="4" t="inlineStr">
        <is>
          <t>17.Módulos Adicionais</t>
        </is>
      </c>
      <c r="C20" s="4" t="inlineStr">
        <is>
          <t>Sign (aprovação eletrónica), Barcode (armazém), Documents, Helpdesk — a definir</t>
        </is>
      </c>
      <c r="D20" s="4" t="inlineStr">
        <is>
          <t>Parametrização</t>
        </is>
      </c>
      <c r="E20" s="4" t="inlineStr">
        <is>
          <t>CS_Consultor</t>
        </is>
      </c>
      <c r="F20" s="4" t="n">
        <v>65</v>
      </c>
      <c r="G20" s="4" t="n">
        <v>16</v>
      </c>
      <c r="H20" s="57" t="n">
        <v>2</v>
      </c>
      <c r="I20" s="49" t="n">
        <v>1040</v>
      </c>
      <c r="J20" s="4" t="inlineStr">
        <is>
          <t>SIM</t>
        </is>
      </c>
      <c r="K20" s="4" t="inlineStr">
        <is>
          <t>A orçamentar após levantamento de prioridades</t>
        </is>
      </c>
    </row>
    <row r="21">
      <c r="A21" t="inlineStr">
        <is>
          <t>Expansão (Fase 3)</t>
        </is>
      </c>
      <c r="B21" t="inlineStr">
        <is>
          <t>SUBTOTAL — Fase 3 (Expansão)</t>
        </is>
      </c>
      <c r="G21" t="n">
        <v>72</v>
      </c>
      <c r="H21" t="n">
        <v>9</v>
      </c>
      <c r="I21" t="n">
        <v>4680</v>
      </c>
    </row>
    <row r="22">
      <c r="B22" t="inlineStr">
        <is>
          <t>TOTAL GERAL</t>
        </is>
      </c>
      <c r="G22" t="n">
        <v>216</v>
      </c>
      <c r="H22" t="n">
        <v>27</v>
      </c>
      <c r="I22" t="n">
        <v>14440</v>
      </c>
    </row>
    <row r="23"/>
    <row r="24"/>
    <row r="25"/>
    <row r="26"/>
    <row r="2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A9D18E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cols>
    <col width="22" customWidth="1" style="41" min="1" max="1"/>
    <col width="10" customWidth="1" style="41" min="2" max="2"/>
  </cols>
  <sheetData>
    <row r="1">
      <c r="A1" s="1" t="inlineStr">
        <is>
          <t>Tipo</t>
        </is>
      </c>
      <c r="B1" s="1" t="inlineStr">
        <is>
          <t>Fator</t>
        </is>
      </c>
    </row>
    <row r="2">
      <c r="A2" s="30" t="inlineStr">
        <is>
          <t>Consultadoria</t>
        </is>
      </c>
      <c r="B2" s="30" t="n">
        <v>1</v>
      </c>
    </row>
    <row r="3">
      <c r="A3" s="30" t="inlineStr">
        <is>
          <t>Desenvolvimento</t>
        </is>
      </c>
      <c r="B3" s="30" t="n">
        <v>1</v>
      </c>
    </row>
    <row r="4">
      <c r="A4" s="30" t="inlineStr">
        <is>
          <t>Formação</t>
        </is>
      </c>
      <c r="B4" s="30" t="n">
        <v>1</v>
      </c>
    </row>
    <row r="5">
      <c r="A5" s="30" t="inlineStr">
        <is>
          <t>Gestão de Projeto</t>
        </is>
      </c>
      <c r="B5" s="30" t="n">
        <v>1</v>
      </c>
    </row>
    <row r="6">
      <c r="A6" s="30" t="inlineStr">
        <is>
          <t>Migração</t>
        </is>
      </c>
      <c r="B6" s="30" t="n">
        <v>1</v>
      </c>
    </row>
    <row r="7">
      <c r="A7" s="30" t="inlineStr">
        <is>
          <t>Orçamentação</t>
        </is>
      </c>
      <c r="B7" s="30" t="n">
        <v>1</v>
      </c>
    </row>
    <row r="8">
      <c r="A8" s="30" t="inlineStr">
        <is>
          <t>Parametrização</t>
        </is>
      </c>
      <c r="B8" s="30" t="n">
        <v>1</v>
      </c>
    </row>
    <row r="9">
      <c r="A9" s="30" t="inlineStr">
        <is>
          <t>Testes</t>
        </is>
      </c>
      <c r="B9" s="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A9D18E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4"/>
  <cols>
    <col width="20" customWidth="1" style="41" min="1" max="1"/>
    <col width="16" customWidth="1" style="41" min="2" max="2"/>
  </cols>
  <sheetData>
    <row r="1">
      <c r="A1" s="1" t="inlineStr">
        <is>
          <t>Código</t>
        </is>
      </c>
      <c r="B1" s="1" t="inlineStr">
        <is>
          <t>Taxa (€/h)</t>
        </is>
      </c>
    </row>
    <row r="2">
      <c r="A2" s="30" t="inlineStr">
        <is>
          <t>CS_Consultor</t>
        </is>
      </c>
      <c r="B2" s="59">
        <f>Config!$B$4</f>
        <v/>
      </c>
    </row>
    <row r="3">
      <c r="A3" s="30" t="inlineStr">
        <is>
          <t>CS_Gestor</t>
        </is>
      </c>
      <c r="B3" s="59">
        <f>Config!$B$5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BACC6"/>
    <outlinePr summaryBelow="1" summaryRight="1"/>
    <pageSetUpPr/>
  </sheetPr>
  <dimension ref="A1:C7"/>
  <sheetViews>
    <sheetView tabSelected="1" workbookViewId="0">
      <selection activeCell="D3" sqref="D3"/>
    </sheetView>
  </sheetViews>
  <sheetFormatPr baseColWidth="8" defaultRowHeight="14.4"/>
  <cols>
    <col width="30" customWidth="1" style="41" min="1" max="1"/>
    <col width="14" customWidth="1" style="41" min="2" max="2"/>
    <col width="18" customWidth="1" style="41" min="3" max="3"/>
  </cols>
  <sheetData>
    <row r="1" ht="28.05" customHeight="1" s="41">
      <c r="A1" s="37" t="inlineStr">
        <is>
          <t>Resumo por Empresa / Fase</t>
        </is>
      </c>
      <c r="B1" s="38" t="n"/>
      <c r="C1" s="39" t="n"/>
    </row>
    <row r="2">
      <c r="A2" s="1" t="inlineStr">
        <is>
          <t>Empresa / Fase</t>
        </is>
      </c>
      <c r="B2" s="1" t="inlineStr">
        <is>
          <t>Horas</t>
        </is>
      </c>
      <c r="C2" s="1" t="inlineStr">
        <is>
          <t>Valor (€)</t>
        </is>
      </c>
    </row>
    <row r="3">
      <c r="A3" s="30" t="inlineStr">
        <is>
          <t>Virgin Details, Lda — Fase 1 (Faturação)</t>
        </is>
      </c>
      <c r="B3" s="35" t="n">
        <v>80</v>
      </c>
      <c r="C3" s="59" t="n">
        <v>5400</v>
      </c>
    </row>
    <row r="4">
      <c r="A4" s="30" t="inlineStr">
        <is>
          <t>Virgin Details, Lda — Fase 2 (Operação Comercial, indicativo)</t>
        </is>
      </c>
      <c r="B4" s="35" t="n">
        <v>64</v>
      </c>
      <c r="C4" s="59" t="n">
        <v>4360</v>
      </c>
    </row>
    <row r="5">
      <c r="A5" s="4" t="inlineStr">
        <is>
          <t>Expansão — Fase 3 (indicativo [POR VALIDAR])</t>
        </is>
      </c>
      <c r="B5" s="25" t="n">
        <v>72</v>
      </c>
      <c r="C5" s="49" t="n">
        <v>4680</v>
      </c>
    </row>
    <row r="6">
      <c r="A6" t="inlineStr">
        <is>
          <t>Total Geral</t>
        </is>
      </c>
      <c r="B6" t="n">
        <v>216</v>
      </c>
      <c r="C6" t="n">
        <v>14440</v>
      </c>
    </row>
    <row r="7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2026-05-20T16:31:34Z</dcterms:created>
  <dcterms:modified xmlns:dcterms="http://purl.org/dc/terms/" xmlns:xsi="http://www.w3.org/2001/XMLSchema-instance" xsi:type="dcterms:W3CDTF">2026-05-25T16:28:45Z</dcterms:modified>
  <cp:lastModifiedBy>Parâmetro + Pedro Coelho</cp:lastModifiedBy>
</cp:coreProperties>
</file>